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ateien\Dev\Godot\Point_and_Click_Adventure\docs\"/>
    </mc:Choice>
  </mc:AlternateContent>
  <xr:revisionPtr revIDLastSave="0" documentId="13_ncr:1_{0193F138-5C60-49FE-893E-34CB9344BF8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Anleitung" sheetId="1" r:id="rId1"/>
    <sheet name="Übersicht" sheetId="2" r:id="rId2"/>
    <sheet name="Zeitlog" sheetId="3" r:id="rId3"/>
    <sheet name="Backlog" sheetId="4" r:id="rId4"/>
    <sheet name="Sprints" sheetId="5" r:id="rId5"/>
    <sheet name="Burndown" sheetId="6" r:id="rId6"/>
    <sheet name="Risiken" sheetId="7" r:id="rId7"/>
    <sheet name="Bugs" sheetId="8" r:id="rId8"/>
    <sheet name="Playtest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4" i="9" l="1"/>
  <c r="P3" i="9"/>
  <c r="P2" i="9"/>
  <c r="F61" i="7"/>
  <c r="G61" i="7" s="1"/>
  <c r="F60" i="7"/>
  <c r="G60" i="7" s="1"/>
  <c r="F59" i="7"/>
  <c r="G59" i="7" s="1"/>
  <c r="F58" i="7"/>
  <c r="G58" i="7" s="1"/>
  <c r="F57" i="7"/>
  <c r="G57" i="7" s="1"/>
  <c r="G56" i="7"/>
  <c r="F56" i="7"/>
  <c r="G55" i="7"/>
  <c r="F55" i="7"/>
  <c r="F54" i="7"/>
  <c r="G54" i="7" s="1"/>
  <c r="F53" i="7"/>
  <c r="G53" i="7" s="1"/>
  <c r="F52" i="7"/>
  <c r="G52" i="7" s="1"/>
  <c r="F51" i="7"/>
  <c r="G51" i="7" s="1"/>
  <c r="F50" i="7"/>
  <c r="G50" i="7" s="1"/>
  <c r="F49" i="7"/>
  <c r="G49" i="7" s="1"/>
  <c r="G48" i="7"/>
  <c r="F48" i="7"/>
  <c r="G47" i="7"/>
  <c r="F47" i="7"/>
  <c r="F46" i="7"/>
  <c r="G46" i="7" s="1"/>
  <c r="F45" i="7"/>
  <c r="G45" i="7" s="1"/>
  <c r="F44" i="7"/>
  <c r="G44" i="7" s="1"/>
  <c r="F43" i="7"/>
  <c r="G43" i="7" s="1"/>
  <c r="F42" i="7"/>
  <c r="G42" i="7" s="1"/>
  <c r="F41" i="7"/>
  <c r="G41" i="7" s="1"/>
  <c r="G40" i="7"/>
  <c r="F40" i="7"/>
  <c r="G39" i="7"/>
  <c r="F39" i="7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G32" i="7"/>
  <c r="F32" i="7"/>
  <c r="G31" i="7"/>
  <c r="F31" i="7"/>
  <c r="F30" i="7"/>
  <c r="G30" i="7" s="1"/>
  <c r="F29" i="7"/>
  <c r="G29" i="7" s="1"/>
  <c r="F28" i="7"/>
  <c r="G28" i="7" s="1"/>
  <c r="F27" i="7"/>
  <c r="G27" i="7" s="1"/>
  <c r="F26" i="7"/>
  <c r="G26" i="7" s="1"/>
  <c r="F25" i="7"/>
  <c r="G25" i="7" s="1"/>
  <c r="G24" i="7"/>
  <c r="F24" i="7"/>
  <c r="G23" i="7"/>
  <c r="F23" i="7"/>
  <c r="F22" i="7"/>
  <c r="G22" i="7" s="1"/>
  <c r="F21" i="7"/>
  <c r="G21" i="7" s="1"/>
  <c r="F20" i="7"/>
  <c r="G20" i="7" s="1"/>
  <c r="F19" i="7"/>
  <c r="G19" i="7" s="1"/>
  <c r="F18" i="7"/>
  <c r="G18" i="7" s="1"/>
  <c r="F17" i="7"/>
  <c r="G17" i="7" s="1"/>
  <c r="G16" i="7"/>
  <c r="F16" i="7"/>
  <c r="G15" i="7"/>
  <c r="F15" i="7"/>
  <c r="F14" i="7"/>
  <c r="G14" i="7" s="1"/>
  <c r="F13" i="7"/>
  <c r="G13" i="7" s="1"/>
  <c r="F12" i="7"/>
  <c r="G12" i="7" s="1"/>
  <c r="F11" i="7"/>
  <c r="G11" i="7" s="1"/>
  <c r="F10" i="7"/>
  <c r="G10" i="7" s="1"/>
  <c r="F9" i="7"/>
  <c r="G9" i="7" s="1"/>
  <c r="G8" i="7"/>
  <c r="F8" i="7"/>
  <c r="G7" i="7"/>
  <c r="F7" i="7"/>
  <c r="F6" i="7"/>
  <c r="G6" i="7" s="1"/>
  <c r="F5" i="7"/>
  <c r="G5" i="7" s="1"/>
  <c r="F4" i="7"/>
  <c r="G4" i="7" s="1"/>
  <c r="F3" i="7"/>
  <c r="G3" i="7" s="1"/>
  <c r="F2" i="7"/>
  <c r="G2" i="7" s="1"/>
  <c r="G9" i="6"/>
  <c r="G2" i="6"/>
  <c r="G7" i="6" s="1"/>
  <c r="H4" i="5"/>
  <c r="G4" i="5"/>
  <c r="F4" i="5"/>
  <c r="E4" i="5"/>
  <c r="L2" i="6" s="1"/>
  <c r="H3" i="5"/>
  <c r="G3" i="5"/>
  <c r="F3" i="5"/>
  <c r="E3" i="5"/>
  <c r="I3" i="5" s="1"/>
  <c r="H2" i="5"/>
  <c r="G2" i="5"/>
  <c r="F2" i="5"/>
  <c r="N201" i="4"/>
  <c r="L201" i="4"/>
  <c r="L200" i="4"/>
  <c r="N200" i="4" s="1"/>
  <c r="L199" i="4"/>
  <c r="N199" i="4" s="1"/>
  <c r="L198" i="4"/>
  <c r="N198" i="4" s="1"/>
  <c r="N197" i="4"/>
  <c r="L197" i="4"/>
  <c r="N196" i="4"/>
  <c r="L196" i="4"/>
  <c r="L195" i="4"/>
  <c r="N195" i="4" s="1"/>
  <c r="L194" i="4"/>
  <c r="N194" i="4" s="1"/>
  <c r="N193" i="4"/>
  <c r="L193" i="4"/>
  <c r="L192" i="4"/>
  <c r="N192" i="4" s="1"/>
  <c r="L191" i="4"/>
  <c r="N191" i="4" s="1"/>
  <c r="L190" i="4"/>
  <c r="N190" i="4" s="1"/>
  <c r="N189" i="4"/>
  <c r="L189" i="4"/>
  <c r="N188" i="4"/>
  <c r="L188" i="4"/>
  <c r="L187" i="4"/>
  <c r="N187" i="4" s="1"/>
  <c r="L186" i="4"/>
  <c r="N186" i="4" s="1"/>
  <c r="N185" i="4"/>
  <c r="L185" i="4"/>
  <c r="L184" i="4"/>
  <c r="N184" i="4" s="1"/>
  <c r="L183" i="4"/>
  <c r="N183" i="4" s="1"/>
  <c r="L182" i="4"/>
  <c r="N182" i="4" s="1"/>
  <c r="N181" i="4"/>
  <c r="L181" i="4"/>
  <c r="N180" i="4"/>
  <c r="L180" i="4"/>
  <c r="L179" i="4"/>
  <c r="N179" i="4" s="1"/>
  <c r="L178" i="4"/>
  <c r="N178" i="4" s="1"/>
  <c r="N177" i="4"/>
  <c r="L177" i="4"/>
  <c r="L176" i="4"/>
  <c r="N176" i="4" s="1"/>
  <c r="L175" i="4"/>
  <c r="N175" i="4" s="1"/>
  <c r="L174" i="4"/>
  <c r="N174" i="4" s="1"/>
  <c r="N173" i="4"/>
  <c r="L173" i="4"/>
  <c r="N172" i="4"/>
  <c r="L172" i="4"/>
  <c r="L171" i="4"/>
  <c r="N171" i="4" s="1"/>
  <c r="L170" i="4"/>
  <c r="N170" i="4" s="1"/>
  <c r="N169" i="4"/>
  <c r="L169" i="4"/>
  <c r="L168" i="4"/>
  <c r="N168" i="4" s="1"/>
  <c r="L167" i="4"/>
  <c r="N167" i="4" s="1"/>
  <c r="L166" i="4"/>
  <c r="N166" i="4" s="1"/>
  <c r="N165" i="4"/>
  <c r="L165" i="4"/>
  <c r="N164" i="4"/>
  <c r="L164" i="4"/>
  <c r="L163" i="4"/>
  <c r="N163" i="4" s="1"/>
  <c r="L162" i="4"/>
  <c r="N162" i="4" s="1"/>
  <c r="N161" i="4"/>
  <c r="L161" i="4"/>
  <c r="L160" i="4"/>
  <c r="N160" i="4" s="1"/>
  <c r="L159" i="4"/>
  <c r="N159" i="4" s="1"/>
  <c r="L158" i="4"/>
  <c r="N158" i="4" s="1"/>
  <c r="N157" i="4"/>
  <c r="L157" i="4"/>
  <c r="N156" i="4"/>
  <c r="L156" i="4"/>
  <c r="L155" i="4"/>
  <c r="N155" i="4" s="1"/>
  <c r="L154" i="4"/>
  <c r="N154" i="4" s="1"/>
  <c r="N153" i="4"/>
  <c r="L153" i="4"/>
  <c r="L152" i="4"/>
  <c r="N152" i="4" s="1"/>
  <c r="L151" i="4"/>
  <c r="N151" i="4" s="1"/>
  <c r="L150" i="4"/>
  <c r="N150" i="4" s="1"/>
  <c r="N149" i="4"/>
  <c r="L149" i="4"/>
  <c r="N148" i="4"/>
  <c r="L148" i="4"/>
  <c r="L147" i="4"/>
  <c r="N147" i="4" s="1"/>
  <c r="L146" i="4"/>
  <c r="N146" i="4" s="1"/>
  <c r="N145" i="4"/>
  <c r="L145" i="4"/>
  <c r="L144" i="4"/>
  <c r="N144" i="4" s="1"/>
  <c r="L143" i="4"/>
  <c r="N143" i="4" s="1"/>
  <c r="L142" i="4"/>
  <c r="N142" i="4" s="1"/>
  <c r="N141" i="4"/>
  <c r="L141" i="4"/>
  <c r="N140" i="4"/>
  <c r="L140" i="4"/>
  <c r="L139" i="4"/>
  <c r="N139" i="4" s="1"/>
  <c r="L138" i="4"/>
  <c r="N138" i="4" s="1"/>
  <c r="N137" i="4"/>
  <c r="L137" i="4"/>
  <c r="L136" i="4"/>
  <c r="N136" i="4" s="1"/>
  <c r="L135" i="4"/>
  <c r="N135" i="4" s="1"/>
  <c r="L134" i="4"/>
  <c r="N134" i="4" s="1"/>
  <c r="N133" i="4"/>
  <c r="L133" i="4"/>
  <c r="N132" i="4"/>
  <c r="L132" i="4"/>
  <c r="L131" i="4"/>
  <c r="N131" i="4" s="1"/>
  <c r="L130" i="4"/>
  <c r="N130" i="4" s="1"/>
  <c r="N129" i="4"/>
  <c r="L129" i="4"/>
  <c r="L128" i="4"/>
  <c r="N128" i="4" s="1"/>
  <c r="L127" i="4"/>
  <c r="N127" i="4" s="1"/>
  <c r="L126" i="4"/>
  <c r="N126" i="4" s="1"/>
  <c r="N125" i="4"/>
  <c r="L125" i="4"/>
  <c r="N124" i="4"/>
  <c r="L124" i="4"/>
  <c r="L123" i="4"/>
  <c r="N123" i="4" s="1"/>
  <c r="L122" i="4"/>
  <c r="N122" i="4" s="1"/>
  <c r="N121" i="4"/>
  <c r="L121" i="4"/>
  <c r="L120" i="4"/>
  <c r="N120" i="4" s="1"/>
  <c r="L119" i="4"/>
  <c r="N119" i="4" s="1"/>
  <c r="L118" i="4"/>
  <c r="N118" i="4" s="1"/>
  <c r="N117" i="4"/>
  <c r="L117" i="4"/>
  <c r="N116" i="4"/>
  <c r="L116" i="4"/>
  <c r="L115" i="4"/>
  <c r="N115" i="4" s="1"/>
  <c r="L114" i="4"/>
  <c r="N114" i="4" s="1"/>
  <c r="N113" i="4"/>
  <c r="L113" i="4"/>
  <c r="L112" i="4"/>
  <c r="N112" i="4" s="1"/>
  <c r="L111" i="4"/>
  <c r="N111" i="4" s="1"/>
  <c r="L110" i="4"/>
  <c r="N110" i="4" s="1"/>
  <c r="N109" i="4"/>
  <c r="L109" i="4"/>
  <c r="N108" i="4"/>
  <c r="L108" i="4"/>
  <c r="L107" i="4"/>
  <c r="N107" i="4" s="1"/>
  <c r="L106" i="4"/>
  <c r="N106" i="4" s="1"/>
  <c r="N105" i="4"/>
  <c r="L105" i="4"/>
  <c r="L104" i="4"/>
  <c r="N104" i="4" s="1"/>
  <c r="L103" i="4"/>
  <c r="N103" i="4" s="1"/>
  <c r="L102" i="4"/>
  <c r="N102" i="4" s="1"/>
  <c r="N101" i="4"/>
  <c r="L101" i="4"/>
  <c r="N100" i="4"/>
  <c r="L100" i="4"/>
  <c r="L99" i="4"/>
  <c r="N99" i="4" s="1"/>
  <c r="L98" i="4"/>
  <c r="N98" i="4" s="1"/>
  <c r="N97" i="4"/>
  <c r="L97" i="4"/>
  <c r="L96" i="4"/>
  <c r="N96" i="4" s="1"/>
  <c r="L95" i="4"/>
  <c r="N95" i="4" s="1"/>
  <c r="L94" i="4"/>
  <c r="N94" i="4" s="1"/>
  <c r="N93" i="4"/>
  <c r="L93" i="4"/>
  <c r="N92" i="4"/>
  <c r="L92" i="4"/>
  <c r="L91" i="4"/>
  <c r="N91" i="4" s="1"/>
  <c r="L90" i="4"/>
  <c r="N90" i="4" s="1"/>
  <c r="N89" i="4"/>
  <c r="L89" i="4"/>
  <c r="L88" i="4"/>
  <c r="N88" i="4" s="1"/>
  <c r="L87" i="4"/>
  <c r="N87" i="4" s="1"/>
  <c r="L86" i="4"/>
  <c r="N86" i="4" s="1"/>
  <c r="N85" i="4"/>
  <c r="L85" i="4"/>
  <c r="N84" i="4"/>
  <c r="L84" i="4"/>
  <c r="L83" i="4"/>
  <c r="N83" i="4" s="1"/>
  <c r="L82" i="4"/>
  <c r="N82" i="4" s="1"/>
  <c r="N81" i="4"/>
  <c r="L81" i="4"/>
  <c r="L80" i="4"/>
  <c r="N80" i="4" s="1"/>
  <c r="L79" i="4"/>
  <c r="N79" i="4" s="1"/>
  <c r="L78" i="4"/>
  <c r="N78" i="4" s="1"/>
  <c r="N77" i="4"/>
  <c r="L77" i="4"/>
  <c r="N76" i="4"/>
  <c r="L76" i="4"/>
  <c r="L75" i="4"/>
  <c r="N75" i="4" s="1"/>
  <c r="L74" i="4"/>
  <c r="N74" i="4" s="1"/>
  <c r="N73" i="4"/>
  <c r="L73" i="4"/>
  <c r="L72" i="4"/>
  <c r="N72" i="4" s="1"/>
  <c r="L71" i="4"/>
  <c r="N71" i="4" s="1"/>
  <c r="L70" i="4"/>
  <c r="N70" i="4" s="1"/>
  <c r="N69" i="4"/>
  <c r="L69" i="4"/>
  <c r="N68" i="4"/>
  <c r="L68" i="4"/>
  <c r="L67" i="4"/>
  <c r="N67" i="4" s="1"/>
  <c r="L66" i="4"/>
  <c r="N66" i="4" s="1"/>
  <c r="N65" i="4"/>
  <c r="L65" i="4"/>
  <c r="L64" i="4"/>
  <c r="N64" i="4" s="1"/>
  <c r="L63" i="4"/>
  <c r="N63" i="4" s="1"/>
  <c r="L62" i="4"/>
  <c r="N62" i="4" s="1"/>
  <c r="N61" i="4"/>
  <c r="L61" i="4"/>
  <c r="N60" i="4"/>
  <c r="L60" i="4"/>
  <c r="L59" i="4"/>
  <c r="N59" i="4" s="1"/>
  <c r="L58" i="4"/>
  <c r="N58" i="4" s="1"/>
  <c r="N57" i="4"/>
  <c r="L57" i="4"/>
  <c r="L56" i="4"/>
  <c r="N56" i="4" s="1"/>
  <c r="L55" i="4"/>
  <c r="N55" i="4" s="1"/>
  <c r="L54" i="4"/>
  <c r="N54" i="4" s="1"/>
  <c r="N53" i="4"/>
  <c r="L53" i="4"/>
  <c r="N52" i="4"/>
  <c r="L52" i="4"/>
  <c r="L51" i="4"/>
  <c r="N51" i="4" s="1"/>
  <c r="L50" i="4"/>
  <c r="N50" i="4" s="1"/>
  <c r="N49" i="4"/>
  <c r="L49" i="4"/>
  <c r="L48" i="4"/>
  <c r="N48" i="4" s="1"/>
  <c r="L47" i="4"/>
  <c r="N47" i="4" s="1"/>
  <c r="L46" i="4"/>
  <c r="N46" i="4" s="1"/>
  <c r="N45" i="4"/>
  <c r="L45" i="4"/>
  <c r="N44" i="4"/>
  <c r="L44" i="4"/>
  <c r="L43" i="4"/>
  <c r="N43" i="4" s="1"/>
  <c r="L42" i="4"/>
  <c r="N42" i="4" s="1"/>
  <c r="N41" i="4"/>
  <c r="L41" i="4"/>
  <c r="L40" i="4"/>
  <c r="N40" i="4" s="1"/>
  <c r="L39" i="4"/>
  <c r="N39" i="4" s="1"/>
  <c r="L38" i="4"/>
  <c r="N38" i="4" s="1"/>
  <c r="N37" i="4"/>
  <c r="L37" i="4"/>
  <c r="N36" i="4"/>
  <c r="L36" i="4"/>
  <c r="L35" i="4"/>
  <c r="N35" i="4" s="1"/>
  <c r="L34" i="4"/>
  <c r="N34" i="4" s="1"/>
  <c r="N33" i="4"/>
  <c r="L33" i="4"/>
  <c r="L32" i="4"/>
  <c r="N32" i="4" s="1"/>
  <c r="L31" i="4"/>
  <c r="N31" i="4" s="1"/>
  <c r="L30" i="4"/>
  <c r="N30" i="4" s="1"/>
  <c r="N29" i="4"/>
  <c r="L29" i="4"/>
  <c r="N28" i="4"/>
  <c r="L28" i="4"/>
  <c r="L27" i="4"/>
  <c r="N27" i="4" s="1"/>
  <c r="L26" i="4"/>
  <c r="N26" i="4" s="1"/>
  <c r="N25" i="4"/>
  <c r="L25" i="4"/>
  <c r="L24" i="4"/>
  <c r="N24" i="4" s="1"/>
  <c r="L23" i="4"/>
  <c r="N23" i="4" s="1"/>
  <c r="L22" i="4"/>
  <c r="N22" i="4" s="1"/>
  <c r="N21" i="4"/>
  <c r="L21" i="4"/>
  <c r="N20" i="4"/>
  <c r="L20" i="4"/>
  <c r="L19" i="4"/>
  <c r="N19" i="4" s="1"/>
  <c r="L18" i="4"/>
  <c r="N18" i="4" s="1"/>
  <c r="N17" i="4"/>
  <c r="L17" i="4"/>
  <c r="L16" i="4"/>
  <c r="N16" i="4" s="1"/>
  <c r="L15" i="4"/>
  <c r="N15" i="4" s="1"/>
  <c r="L14" i="4"/>
  <c r="N14" i="4" s="1"/>
  <c r="N13" i="4"/>
  <c r="L13" i="4"/>
  <c r="N12" i="4"/>
  <c r="L12" i="4"/>
  <c r="L11" i="4"/>
  <c r="N11" i="4" s="1"/>
  <c r="L10" i="4"/>
  <c r="N10" i="4" s="1"/>
  <c r="N9" i="4"/>
  <c r="L9" i="4"/>
  <c r="L8" i="4"/>
  <c r="N8" i="4" s="1"/>
  <c r="L7" i="4"/>
  <c r="N7" i="4" s="1"/>
  <c r="L6" i="4"/>
  <c r="N6" i="4" s="1"/>
  <c r="N5" i="4"/>
  <c r="L5" i="4"/>
  <c r="N4" i="4"/>
  <c r="L4" i="4"/>
  <c r="L3" i="4"/>
  <c r="N3" i="4" s="1"/>
  <c r="L2" i="4"/>
  <c r="N2" i="4" s="1"/>
  <c r="D42" i="2"/>
  <c r="C42" i="2"/>
  <c r="C41" i="2"/>
  <c r="D41" i="2" s="1"/>
  <c r="C40" i="2"/>
  <c r="D40" i="2" s="1"/>
  <c r="C39" i="2"/>
  <c r="D39" i="2" s="1"/>
  <c r="C38" i="2"/>
  <c r="D38" i="2" s="1"/>
  <c r="C37" i="2"/>
  <c r="D37" i="2" s="1"/>
  <c r="C36" i="2"/>
  <c r="C35" i="2"/>
  <c r="C34" i="2"/>
  <c r="C31" i="2"/>
  <c r="C30" i="2"/>
  <c r="C27" i="2"/>
  <c r="C26" i="2"/>
  <c r="C25" i="2"/>
  <c r="C24" i="2"/>
  <c r="C23" i="2"/>
  <c r="C20" i="2"/>
  <c r="C18" i="2"/>
  <c r="C19" i="2" s="1"/>
  <c r="C17" i="2"/>
  <c r="C16" i="2"/>
  <c r="C13" i="2"/>
  <c r="C12" i="2"/>
  <c r="C11" i="2"/>
  <c r="L12" i="6" l="1"/>
  <c r="L17" i="6"/>
  <c r="L6" i="6"/>
  <c r="L11" i="6"/>
  <c r="L16" i="6"/>
  <c r="L5" i="6"/>
  <c r="L10" i="6"/>
  <c r="L15" i="6"/>
  <c r="L9" i="6"/>
  <c r="L14" i="6"/>
  <c r="L19" i="6"/>
  <c r="L8" i="6"/>
  <c r="L13" i="6"/>
  <c r="L18" i="6"/>
  <c r="L7" i="6"/>
  <c r="G18" i="6"/>
  <c r="G13" i="6"/>
  <c r="G8" i="6"/>
  <c r="G19" i="6"/>
  <c r="I4" i="5"/>
  <c r="G14" i="6"/>
  <c r="E2" i="5"/>
  <c r="C10" i="2"/>
  <c r="G15" i="6"/>
  <c r="G10" i="6"/>
  <c r="G5" i="6"/>
  <c r="G16" i="6"/>
  <c r="G11" i="6"/>
  <c r="G6" i="6"/>
  <c r="G17" i="6"/>
  <c r="G12" i="6"/>
  <c r="I2" i="5" l="1"/>
  <c r="B2" i="6"/>
  <c r="B18" i="6" l="1"/>
  <c r="B7" i="6"/>
  <c r="B12" i="6"/>
  <c r="B17" i="6"/>
  <c r="B6" i="6"/>
  <c r="B11" i="6"/>
  <c r="B16" i="6"/>
  <c r="B5" i="6"/>
  <c r="B10" i="6"/>
  <c r="B15" i="6"/>
  <c r="B9" i="6"/>
  <c r="B14" i="6"/>
  <c r="B19" i="6"/>
  <c r="B8" i="6"/>
  <c r="B13" i="6"/>
</calcChain>
</file>

<file path=xl/sharedStrings.xml><?xml version="1.0" encoding="utf-8"?>
<sst xmlns="http://schemas.openxmlformats.org/spreadsheetml/2006/main" count="199" uniqueCount="177">
  <si>
    <t>Projekt-Tracker · Software Engineering and Game Technical Direction</t>
  </si>
  <si>
    <t>Vorlage für das Semesterprojekt (Studio of One). Ein Tracker für den gesamten Lebenszyklus.</t>
  </si>
  <si>
    <t>So verwenden Sie diese Datei</t>
  </si>
  <si>
    <t>• Gelb hinterlegte Zellen sind Eingabefelder. Weiße Zellen in den Datenblättern füllen Sie zeilenweise aus.</t>
  </si>
  <si>
    <t>• Grau-kursive Zeilen (ID „BSP“) sind Beispiele für das erwartete Format – überschreiben oder löschen Sie sie, da sie sonst in die Kennzahlen eingehen.</t>
  </si>
  <si>
    <t>• Spalten mit dunkelgrauer Schrift (z. B. PERT, Risikowert) werden automatisch berechnet – bitte nicht überschreiben.</t>
  </si>
  <si>
    <t>• Auswahllisten (Status, MoSCoW, Schweregrad …) sorgen für auswertbare Daten in der Übersicht.</t>
  </si>
  <si>
    <t>Blätter und zugehörige Übungen</t>
  </si>
  <si>
    <t>Übersicht – Kennzahlen des Projekts, u. a. Schätzgenauigkeit, Puffer und Zeit je Hut (Ü2, Ü14)</t>
  </si>
  <si>
    <t>Zeitlog – jede Arbeitssitzung ab Woche 1: Datum, Dauer, Hut, Tätigkeit/Story-ID; parallel zum Dev-Log (Ü1–Ü14)</t>
  </si>
  <si>
    <t>Backlog – User Stories, MoSCoW, Pillar-Bezug, GDD-Referenz (Traceability), Drei-Punkt-Schätzung, Ist-Aufwand, Cut List über Status „Gestrichen“ (Ü3, Ü4, Ü8)</t>
  </si>
  <si>
    <t>Sprints – Sprint-Ziele, Planung vs. Ist, automatisch aus dem Backlog (Ü8, Ü9, Ü11, Ü13)</t>
  </si>
  <si>
    <t>Burndown – verbleibende Stunden je Sprinttag mit Ideallinie und Diagramm (Ü8–Ü13)</t>
  </si>
  <si>
    <t>Risiken – Risikoregister: Wahrscheinlichkeit × Auswirkung, Maßnahmen, eingetreten ja/nein (Ü3, Ü8, Ü14)</t>
  </si>
  <si>
    <t>Bugs – Fehlerverwaltung mit Schweregrad, Priorität und Lebenszyklus (Ü10, Ü13)</t>
  </si>
  <si>
    <t>Playtests – Protokoll aller Playtests mit Befunden und Backlog-Bezug (Ü5, Ü11)</t>
  </si>
  <si>
    <t>Formeln</t>
  </si>
  <si>
    <t>PERT-Erwartungswert: E = (O + 4·M + P) / 6   ·   Risikowert = Wahrscheinlichkeit × Auswirkung (je 1–5)   ·   Schätzgenauigkeit = Σ Ist / Σ PERT der erledigten Stories (&gt; 1 = unterschätzt)</t>
  </si>
  <si>
    <t>Projektübersicht</t>
  </si>
  <si>
    <t>Eingaben gelb, alles andere wird berechnet.</t>
  </si>
  <si>
    <t>Projekt / Arbeitstitel</t>
  </si>
  <si>
    <t>Eingabe</t>
  </si>
  <si>
    <t>Engine</t>
  </si>
  <si>
    <t>Verfügbare Projektstunden (Semester)</t>
  </si>
  <si>
    <t>Workload des Moduls minus Präsenzzeit minus realistische Abzüge (Ü2)</t>
  </si>
  <si>
    <t>Zeit</t>
  </si>
  <si>
    <t>Geplante Stunden (PERT, ohne Gestrichene)</t>
  </si>
  <si>
    <t>Summe der PERT-Schätzungen</t>
  </si>
  <si>
    <t>Puffer (verfügbar − geplant)</t>
  </si>
  <si>
    <t>negativ = Scope reduzieren!</t>
  </si>
  <si>
    <t>Ist-Stunden auf Backlog-Stories</t>
  </si>
  <si>
    <t>ab Production (Ü8); Gesamtzeit siehe Zeitlog unten</t>
  </si>
  <si>
    <t>Schätzgenauigkeit (Ist / PERT, nur erledigte)</t>
  </si>
  <si>
    <t>&gt; 1 = unterschätzt; für das Postmortem (Ü14)</t>
  </si>
  <si>
    <t>Scope</t>
  </si>
  <si>
    <t>Stories gesamt</t>
  </si>
  <si>
    <t>Stories erledigt</t>
  </si>
  <si>
    <t>Stories gestrichen (Cut List)</t>
  </si>
  <si>
    <t>Anteil gestrichen</t>
  </si>
  <si>
    <t>Must-Stories erledigt</t>
  </si>
  <si>
    <t>Alpha-Kriterium: 100 %</t>
  </si>
  <si>
    <t>Qualität und Risiken</t>
  </si>
  <si>
    <t>Offene A-Bugs</t>
  </si>
  <si>
    <t>Release-Kriterium: 0</t>
  </si>
  <si>
    <t>Bugs gesamt</t>
  </si>
  <si>
    <t>Risiken mit Stufe „hoch“</t>
  </si>
  <si>
    <t>Eingetretene Risiken</t>
  </si>
  <si>
    <t>Playtests durchgeführt</t>
  </si>
  <si>
    <t>Ziel bis Alpha: ≥ 4</t>
  </si>
  <si>
    <t>Traceability (GDD ↔ Backlog)</t>
  </si>
  <si>
    <t>Stories mit GDD-Referenz oder „TD“</t>
  </si>
  <si>
    <t>Ziel: 100 %</t>
  </si>
  <si>
    <t>Must-Stories ohne Referenz</t>
  </si>
  <si>
    <t>Ziel: 0</t>
  </si>
  <si>
    <t>Zeit gesamt (Zeitlog, ab Woche 1)</t>
  </si>
  <si>
    <t>Gearbeitete Stunden gesamt</t>
  </si>
  <si>
    <t>alle Sitzungen laut Zeitlog</t>
  </si>
  <si>
    <t>Anteil am Zeitbudget</t>
  </si>
  <si>
    <t>Vergleich mit Semesterfortschritt</t>
  </si>
  <si>
    <t>Verbleibende Stunden</t>
  </si>
  <si>
    <t>Stunden: Producer</t>
  </si>
  <si>
    <t>Stunden: Game Designer</t>
  </si>
  <si>
    <t>Stunden: Technical Director</t>
  </si>
  <si>
    <t>Stunden: Programmer</t>
  </si>
  <si>
    <t>Stunden: QA</t>
  </si>
  <si>
    <t>Stunden: Einarbeitung / Lernen</t>
  </si>
  <si>
    <t>Datum</t>
  </si>
  <si>
    <t>Dauer (h)</t>
  </si>
  <si>
    <t>Hut</t>
  </si>
  <si>
    <t>Tätigkeit / Story-ID</t>
  </si>
  <si>
    <t>Eine Zeile pro Arbeitssitzung, parallel zum Dev-Log. Dauer in Stunden (z. B. 1,5). Wechselt der Hut innerhalb einer Sitzung, zwei Zeilen anlegen.</t>
  </si>
  <si>
    <t>Einarbeitung / Lernen</t>
  </si>
  <si>
    <t>ID</t>
  </si>
  <si>
    <t>Epic</t>
  </si>
  <si>
    <t>User Story</t>
  </si>
  <si>
    <t>Akzeptanzkriterien</t>
  </si>
  <si>
    <t>Design Pillar</t>
  </si>
  <si>
    <t>MoSCoW</t>
  </si>
  <si>
    <t>Status</t>
  </si>
  <si>
    <t>Sprint</t>
  </si>
  <si>
    <t>O (h)</t>
  </si>
  <si>
    <t>M (h)</t>
  </si>
  <si>
    <t>P (h)</t>
  </si>
  <si>
    <t>PERT (h)</t>
  </si>
  <si>
    <t>Ist (h)</t>
  </si>
  <si>
    <t>Abweichung (h)</t>
  </si>
  <si>
    <t>Begründung bei „Gestrichen“ (Cut List)</t>
  </si>
  <si>
    <t>GDD-Referenz (Abschnitt oder „TD“)</t>
  </si>
  <si>
    <t>BSP</t>
  </si>
  <si>
    <t>Bewegung</t>
  </si>
  <si>
    <t>Als Spielerin möchte ich doppelt springen, damit ich höhere Plattformen erreiche.</t>
  </si>
  <si>
    <t>Zweiter Sprung nur in der Luft; Coyote Time 0,1 s; ≥ 4/5 Testpersonen bewerten Steuerung als präzise</t>
  </si>
  <si>
    <t>Präzise Bewegung</t>
  </si>
  <si>
    <t>Must</t>
  </si>
  <si>
    <t>Erledigt</t>
  </si>
  <si>
    <t>GDD 2.3 Bewegung</t>
  </si>
  <si>
    <t>Wochen</t>
  </si>
  <si>
    <t>Sprint-Ziel</t>
  </si>
  <si>
    <t>Verfügbar (h)</t>
  </si>
  <si>
    <t>Geplant PERT (h)</t>
  </si>
  <si>
    <t>Stories geplant</t>
  </si>
  <si>
    <t>Auslastung</t>
  </si>
  <si>
    <t>Ziel erreicht?</t>
  </si>
  <si>
    <t>Retro: wichtigste Maßnahme</t>
  </si>
  <si>
    <t>8–9</t>
  </si>
  <si>
    <t>10–11 (Alpha)</t>
  </si>
  <si>
    <t>12–13 (RC)</t>
  </si>
  <si>
    <t>Auslastung &gt; 100 % bedeutet: mehr geplant als verfügbar. Hinweis: Das Backlog verweist über die Spalte „Sprint“ (1–3) auf diese Tabelle.</t>
  </si>
  <si>
    <t>Sprint 1</t>
  </si>
  <si>
    <t>Sprint 2</t>
  </si>
  <si>
    <t>Sprint 3</t>
  </si>
  <si>
    <t>Start (h)</t>
  </si>
  <si>
    <t>Tag</t>
  </si>
  <si>
    <t>Ideal (h)</t>
  </si>
  <si>
    <t>Rest (h)</t>
  </si>
  <si>
    <t>Tragen Sie in „Rest (h)“ an jedem Sprinttag die verbleibenden geschätzten Stunden ein. Der Startwert wird aus dem Blatt „Sprints“ übernommen.</t>
  </si>
  <si>
    <t>Risiko</t>
  </si>
  <si>
    <t>Kategorie</t>
  </si>
  <si>
    <t>Wahrsch. (1–5)</t>
  </si>
  <si>
    <t>Auswirkung (1–5)</t>
  </si>
  <si>
    <t>Risikowert</t>
  </si>
  <si>
    <t>Stufe</t>
  </si>
  <si>
    <t>Strategie</t>
  </si>
  <si>
    <t>Maßnahme</t>
  </si>
  <si>
    <t>Eingetreten?</t>
  </si>
  <si>
    <t>Notiz / Datum</t>
  </si>
  <si>
    <t>Feature Creep: neue Ideen verdrängen Must-Stories</t>
  </si>
  <si>
    <t>Vermindern</t>
  </si>
  <si>
    <t>Cut List pflegen, one in – one out, Review je Sprint</t>
  </si>
  <si>
    <t>Aktiv</t>
  </si>
  <si>
    <t>Nein</t>
  </si>
  <si>
    <t>Titel</t>
  </si>
  <si>
    <t>Build</t>
  </si>
  <si>
    <t>Schritte zur Reproduktion</t>
  </si>
  <si>
    <t>Erwartet</t>
  </si>
  <si>
    <t>Tatsächlich</t>
  </si>
  <si>
    <t>Reproduzierbarkeit</t>
  </si>
  <si>
    <t>Schweregrad</t>
  </si>
  <si>
    <t>Priorität</t>
  </si>
  <si>
    <t>Gefunden am</t>
  </si>
  <si>
    <t>Behoben am</t>
  </si>
  <si>
    <t>Triage-Entscheidung / Notiz</t>
  </si>
  <si>
    <t>Spieler fällt nach Doppelsprung an Wandkante durch Boden</t>
  </si>
  <si>
    <t>0.4.2</t>
  </si>
  <si>
    <t>1. Level 2 starten 2. an linke Wand laufen 3. Doppelsprung</t>
  </si>
  <si>
    <t>Landung auf Plattform</t>
  </si>
  <si>
    <t>Fall ins Leere</t>
  </si>
  <si>
    <t>3/5</t>
  </si>
  <si>
    <t>A</t>
  </si>
  <si>
    <t>hoch</t>
  </si>
  <si>
    <t>In Arbeit</t>
  </si>
  <si>
    <t>2026-12-02</t>
  </si>
  <si>
    <t>vor Alpha beheben</t>
  </si>
  <si>
    <t>Nr.</t>
  </si>
  <si>
    <t>Testperson (Pseudonym)</t>
  </si>
  <si>
    <t>Typ</t>
  </si>
  <si>
    <t>Dauer (min)</t>
  </si>
  <si>
    <t>Forschungsfrage</t>
  </si>
  <si>
    <t>Beobachtung / Befund</t>
  </si>
  <si>
    <t>Schwere</t>
  </si>
  <si>
    <t>Backlog-ID</t>
  </si>
  <si>
    <t>Likert Pillar 1 (1–5)</t>
  </si>
  <si>
    <t>Likert Pillar 2 (1–5)</t>
  </si>
  <si>
    <t>Likert Pillar 3 (1–5)</t>
  </si>
  <si>
    <t>Mittelwerte</t>
  </si>
  <si>
    <t>2026-12-08</t>
  </si>
  <si>
    <t>T01</t>
  </si>
  <si>
    <t>Extern</t>
  </si>
  <si>
    <t>0.5.0</t>
  </si>
  <si>
    <t>Verstehen Spielende den Enterhaken ohne Erklärung?</t>
  </si>
  <si>
    <t>Enterhaken erst nach 3 min entdeckt; mehrfach Sprung statt Haken versucht</t>
  </si>
  <si>
    <t>mittel</t>
  </si>
  <si>
    <t>B-023</t>
  </si>
  <si>
    <t>Pillar 1</t>
  </si>
  <si>
    <t>Pillar 2</t>
  </si>
  <si>
    <t>Pillar 3</t>
  </si>
  <si>
    <t>Einrichtung des Repositories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</si>
</sst>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10" x14ac:knownFonts="1">
    <font>
      <sz val="11"/>
      <color theme="1"/>
      <name val="Calibri"/>
      <family val="2"/>
      <charset val="1"/>
    </font>
    <font>
      <b/>
      <sz val="16"/>
      <color rgb="FF1B1F3B"/>
      <name val="Arial"/>
      <charset val="1"/>
    </font>
    <font>
      <sz val="11"/>
      <color rgb="FF5C6470"/>
      <name val="Arial"/>
      <charset val="1"/>
    </font>
    <font>
      <b/>
      <sz val="12"/>
      <color rgb="FF1B1F3B"/>
      <name val="Arial"/>
      <charset val="1"/>
    </font>
    <font>
      <sz val="10"/>
      <name val="Arial"/>
      <charset val="1"/>
    </font>
    <font>
      <i/>
      <sz val="10"/>
      <color rgb="FF6B728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4B5563"/>
      <name val="Arial"/>
      <charset val="1"/>
    </font>
    <font>
      <b/>
      <sz val="11"/>
      <color rgb="FF1B1F3B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6CC"/>
        <bgColor rgb="FFFCE7C8"/>
      </patternFill>
    </fill>
    <fill>
      <patternFill patternType="solid">
        <fgColor rgb="FF1B1F3B"/>
        <bgColor rgb="FF003366"/>
      </patternFill>
    </fill>
  </fills>
  <borders count="2">
    <border>
      <left/>
      <right/>
      <top/>
      <bottom/>
      <diagonal/>
    </border>
    <border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3" fillId="0" borderId="0" xfId="0" applyFont="1"/>
    <xf numFmtId="164" fontId="6" fillId="0" borderId="1" xfId="0" applyNumberFormat="1" applyFont="1" applyBorder="1"/>
    <xf numFmtId="2" fontId="6" fillId="0" borderId="1" xfId="0" applyNumberFormat="1" applyFont="1" applyBorder="1"/>
    <xf numFmtId="1" fontId="6" fillId="0" borderId="1" xfId="0" applyNumberFormat="1" applyFont="1" applyBorder="1"/>
    <xf numFmtId="9" fontId="6" fillId="0" borderId="1" xfId="0" applyNumberFormat="1" applyFont="1" applyBorder="1"/>
    <xf numFmtId="0" fontId="7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4" fillId="0" borderId="0" xfId="0" applyFont="1"/>
    <xf numFmtId="164" fontId="0" fillId="2" borderId="1" xfId="0" applyNumberFormat="1" applyFill="1" applyBorder="1"/>
    <xf numFmtId="0" fontId="7" fillId="3" borderId="1" xfId="0" applyFont="1" applyFill="1" applyBorder="1"/>
    <xf numFmtId="0" fontId="0" fillId="0" borderId="1" xfId="0" applyBorder="1"/>
    <xf numFmtId="164" fontId="8" fillId="0" borderId="1" xfId="0" applyNumberFormat="1" applyFont="1" applyBorder="1"/>
    <xf numFmtId="0" fontId="0" fillId="2" borderId="1" xfId="0" applyFill="1" applyBorder="1"/>
    <xf numFmtId="0" fontId="8" fillId="0" borderId="1" xfId="0" applyFont="1" applyBorder="1" applyAlignment="1">
      <alignment vertical="top" wrapText="1"/>
    </xf>
    <xf numFmtId="0" fontId="9" fillId="0" borderId="0" xfId="0" applyFont="1"/>
    <xf numFmtId="2" fontId="0" fillId="0" borderId="0" xfId="0" applyNumberFormat="1"/>
  </cellXfs>
  <cellStyles count="1">
    <cellStyle name="Standard" xfId="0" builtinId="0"/>
  </cellStyles>
  <dxfs count="6">
    <dxf>
      <fill>
        <patternFill>
          <bgColor rgb="FFF8D0D0"/>
        </patternFill>
      </fill>
    </dxf>
    <dxf>
      <fill>
        <patternFill>
          <bgColor rgb="FFD7F0DF"/>
        </patternFill>
      </fill>
    </dxf>
    <dxf>
      <fill>
        <patternFill>
          <bgColor rgb="FFFCE7C8"/>
        </patternFill>
      </fill>
    </dxf>
    <dxf>
      <fill>
        <patternFill>
          <bgColor rgb="FFF8D0D0"/>
        </patternFill>
      </fill>
    </dxf>
    <dxf>
      <fill>
        <patternFill>
          <bgColor rgb="FFF8D0D0"/>
        </patternFill>
      </fill>
    </dxf>
    <dxf>
      <fill>
        <patternFill>
          <bgColor rgb="FFF8D0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6CC"/>
      <rgbColor rgb="FFCCFFFF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0DF"/>
      <rgbColor rgb="FFFCE7C8"/>
      <rgbColor rgb="FF99CCFF"/>
      <rgbColor rgb="FFFF99CC"/>
      <rgbColor rgb="FFCC99FF"/>
      <rgbColor rgb="FFF8D0D0"/>
      <rgbColor rgb="FF3366FF"/>
      <rgbColor rgb="FF33CCCC"/>
      <rgbColor rgb="FF99CC00"/>
      <rgbColor rgb="FFFFCC00"/>
      <rgbColor rgb="FFFF9900"/>
      <rgbColor rgb="FFE0621F"/>
      <rgbColor rgb="FF6B7280"/>
      <rgbColor rgb="FF9CA3AF"/>
      <rgbColor rgb="FF003366"/>
      <rgbColor rgb="FF5C6470"/>
      <rgbColor rgb="FF003300"/>
      <rgbColor rgb="FF333300"/>
      <rgbColor rgb="FF993300"/>
      <rgbColor rgb="FF993366"/>
      <rgbColor rgb="FF4B5563"/>
      <rgbColor rgb="FF1B1F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Burndown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Burndown!$B$4</c:f>
              <c:strCache>
                <c:ptCount val="1"/>
                <c:pt idx="0">
                  <c:v>Ideal (h)</c:v>
                </c:pt>
              </c:strCache>
            </c:strRef>
          </c:tx>
          <c:spPr>
            <a:ln w="28440">
              <a:solidFill>
                <a:srgbClr val="9CA3A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Burndown!$B$5:$B$19</c:f>
              <c:numCache>
                <c:formatCode>0.0</c:formatCode>
                <c:ptCount val="15"/>
                <c:pt idx="0">
                  <c:v>4.333333333333333</c:v>
                </c:pt>
                <c:pt idx="1">
                  <c:v>4.0238095238095237</c:v>
                </c:pt>
                <c:pt idx="2">
                  <c:v>3.7142857142857144</c:v>
                </c:pt>
                <c:pt idx="3">
                  <c:v>3.4047619047619047</c:v>
                </c:pt>
                <c:pt idx="4">
                  <c:v>3.0952380952380949</c:v>
                </c:pt>
                <c:pt idx="5">
                  <c:v>2.7857142857142851</c:v>
                </c:pt>
                <c:pt idx="6">
                  <c:v>2.4761904761904758</c:v>
                </c:pt>
                <c:pt idx="7">
                  <c:v>2.1666666666666665</c:v>
                </c:pt>
                <c:pt idx="8">
                  <c:v>1.8571428571428572</c:v>
                </c:pt>
                <c:pt idx="9">
                  <c:v>1.5476190476190472</c:v>
                </c:pt>
                <c:pt idx="10">
                  <c:v>1.2380952380952379</c:v>
                </c:pt>
                <c:pt idx="11">
                  <c:v>0.9285714285714286</c:v>
                </c:pt>
                <c:pt idx="12">
                  <c:v>0.61904761904761918</c:v>
                </c:pt>
                <c:pt idx="13">
                  <c:v>0.30952380952380937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AE-4B20-BE15-913501A311A5}"/>
            </c:ext>
          </c:extLst>
        </c:ser>
        <c:ser>
          <c:idx val="1"/>
          <c:order val="1"/>
          <c:tx>
            <c:strRef>
              <c:f>Burndown!$C$4</c:f>
              <c:strCache>
                <c:ptCount val="1"/>
                <c:pt idx="0">
                  <c:v>Rest (h)</c:v>
                </c:pt>
              </c:strCache>
            </c:strRef>
          </c:tx>
          <c:spPr>
            <a:ln w="28080">
              <a:solidFill>
                <a:srgbClr val="E062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Burndown!$C$5:$C$19</c:f>
              <c:numCache>
                <c:formatCode>General</c:formatCode>
                <c:ptCount val="1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AE-4B20-BE15-913501A31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461832"/>
        <c:axId val="58019187"/>
      </c:lineChart>
      <c:catAx>
        <c:axId val="874618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Tag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58019187"/>
        <c:crosses val="autoZero"/>
        <c:auto val="1"/>
        <c:lblAlgn val="ctr"/>
        <c:lblOffset val="100"/>
        <c:noMultiLvlLbl val="0"/>
      </c:catAx>
      <c:valAx>
        <c:axId val="58019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Stunden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87461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Burndown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Burndown!$G$4</c:f>
              <c:strCache>
                <c:ptCount val="1"/>
                <c:pt idx="0">
                  <c:v>Ideal (h)</c:v>
                </c:pt>
              </c:strCache>
            </c:strRef>
          </c:tx>
          <c:spPr>
            <a:ln w="28440">
              <a:solidFill>
                <a:srgbClr val="9CA3A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Burndown!$F$5:$F$19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Burndown!$G$5:$G$19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E1-4E04-9EA4-BBEA1DC332F1}"/>
            </c:ext>
          </c:extLst>
        </c:ser>
        <c:ser>
          <c:idx val="1"/>
          <c:order val="1"/>
          <c:tx>
            <c:strRef>
              <c:f>Burndown!$H$4</c:f>
              <c:strCache>
                <c:ptCount val="1"/>
                <c:pt idx="0">
                  <c:v>Rest (h)</c:v>
                </c:pt>
              </c:strCache>
            </c:strRef>
          </c:tx>
          <c:spPr>
            <a:ln w="28080">
              <a:solidFill>
                <a:srgbClr val="E062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Burndown!$F$5:$F$19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Burndown!$H$5:$H$19</c:f>
              <c:numCache>
                <c:formatCode>General</c:formatCode>
                <c:ptCount val="1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E1-4E04-9EA4-BBEA1DC33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430258"/>
        <c:axId val="55993240"/>
      </c:lineChart>
      <c:catAx>
        <c:axId val="58430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Tag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55993240"/>
        <c:crosses val="autoZero"/>
        <c:auto val="1"/>
        <c:lblAlgn val="ctr"/>
        <c:lblOffset val="100"/>
        <c:noMultiLvlLbl val="0"/>
      </c:catAx>
      <c:valAx>
        <c:axId val="55993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Stunden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584302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Burndown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Burndown!$L$4</c:f>
              <c:strCache>
                <c:ptCount val="1"/>
                <c:pt idx="0">
                  <c:v>Ideal (h)</c:v>
                </c:pt>
              </c:strCache>
            </c:strRef>
          </c:tx>
          <c:spPr>
            <a:ln w="28440">
              <a:solidFill>
                <a:srgbClr val="9CA3A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Burndown!$K$5:$K$19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Burndown!$L$5:$L$19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FA-42B7-BB79-52F4D7EB1827}"/>
            </c:ext>
          </c:extLst>
        </c:ser>
        <c:ser>
          <c:idx val="1"/>
          <c:order val="1"/>
          <c:tx>
            <c:strRef>
              <c:f>Burndown!$M$4</c:f>
              <c:strCache>
                <c:ptCount val="1"/>
                <c:pt idx="0">
                  <c:v>Rest (h)</c:v>
                </c:pt>
              </c:strCache>
            </c:strRef>
          </c:tx>
          <c:spPr>
            <a:ln w="28080">
              <a:solidFill>
                <a:srgbClr val="E062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Burndown!$K$5:$K$19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Burndown!$M$5:$M$19</c:f>
              <c:numCache>
                <c:formatCode>General</c:formatCode>
                <c:ptCount val="1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4FA-42B7-BB79-52F4D7EB1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917487"/>
        <c:axId val="27926605"/>
      </c:lineChart>
      <c:catAx>
        <c:axId val="819174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Tag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27926605"/>
        <c:crosses val="autoZero"/>
        <c:auto val="1"/>
        <c:lblAlgn val="ctr"/>
        <c:lblOffset val="100"/>
        <c:noMultiLvlLbl val="0"/>
      </c:catAx>
      <c:valAx>
        <c:axId val="27926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Stunden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81917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6</xdr:col>
      <xdr:colOff>277200</xdr:colOff>
      <xdr:row>34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11</xdr:col>
      <xdr:colOff>277200</xdr:colOff>
      <xdr:row>34</xdr:row>
      <xdr:rowOff>43200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21</xdr:row>
      <xdr:rowOff>0</xdr:rowOff>
    </xdr:from>
    <xdr:to>
      <xdr:col>16</xdr:col>
      <xdr:colOff>370440</xdr:colOff>
      <xdr:row>34</xdr:row>
      <xdr:rowOff>43200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2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110" customWidth="1"/>
  </cols>
  <sheetData>
    <row r="2" spans="2:2" ht="21" x14ac:dyDescent="0.4">
      <c r="B2" s="1" t="s">
        <v>0</v>
      </c>
    </row>
    <row r="3" spans="2:2" x14ac:dyDescent="0.3">
      <c r="B3" s="2" t="s">
        <v>1</v>
      </c>
    </row>
    <row r="4" spans="2:2" x14ac:dyDescent="0.3">
      <c r="B4" s="3"/>
    </row>
    <row r="5" spans="2:2" ht="15.6" x14ac:dyDescent="0.3">
      <c r="B5" s="4" t="s">
        <v>2</v>
      </c>
    </row>
    <row r="6" spans="2:2" x14ac:dyDescent="0.3">
      <c r="B6" s="5" t="s">
        <v>3</v>
      </c>
    </row>
    <row r="7" spans="2:2" ht="27" x14ac:dyDescent="0.3">
      <c r="B7" s="5" t="s">
        <v>4</v>
      </c>
    </row>
    <row r="8" spans="2:2" x14ac:dyDescent="0.3">
      <c r="B8" s="5" t="s">
        <v>5</v>
      </c>
    </row>
    <row r="9" spans="2:2" x14ac:dyDescent="0.3">
      <c r="B9" s="5" t="s">
        <v>6</v>
      </c>
    </row>
    <row r="10" spans="2:2" x14ac:dyDescent="0.3">
      <c r="B10" s="3"/>
    </row>
    <row r="11" spans="2:2" ht="15.6" x14ac:dyDescent="0.3">
      <c r="B11" s="4" t="s">
        <v>7</v>
      </c>
    </row>
    <row r="12" spans="2:2" x14ac:dyDescent="0.3">
      <c r="B12" s="5" t="s">
        <v>8</v>
      </c>
    </row>
    <row r="13" spans="2:2" x14ac:dyDescent="0.3">
      <c r="B13" s="5" t="s">
        <v>9</v>
      </c>
    </row>
    <row r="14" spans="2:2" ht="27" x14ac:dyDescent="0.3">
      <c r="B14" s="5" t="s">
        <v>10</v>
      </c>
    </row>
    <row r="15" spans="2:2" x14ac:dyDescent="0.3">
      <c r="B15" s="5" t="s">
        <v>11</v>
      </c>
    </row>
    <row r="16" spans="2:2" x14ac:dyDescent="0.3">
      <c r="B16" s="5" t="s">
        <v>12</v>
      </c>
    </row>
    <row r="17" spans="2:2" x14ac:dyDescent="0.3">
      <c r="B17" s="5" t="s">
        <v>13</v>
      </c>
    </row>
    <row r="18" spans="2:2" x14ac:dyDescent="0.3">
      <c r="B18" s="5" t="s">
        <v>14</v>
      </c>
    </row>
    <row r="19" spans="2:2" x14ac:dyDescent="0.3">
      <c r="B19" s="5" t="s">
        <v>15</v>
      </c>
    </row>
    <row r="20" spans="2:2" x14ac:dyDescent="0.3">
      <c r="B20" s="3"/>
    </row>
    <row r="21" spans="2:2" ht="15.6" x14ac:dyDescent="0.3">
      <c r="B21" s="4" t="s">
        <v>16</v>
      </c>
    </row>
    <row r="22" spans="2:2" ht="27" x14ac:dyDescent="0.3">
      <c r="B22" s="5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2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46" customWidth="1"/>
    <col min="3" max="3" width="16" customWidth="1"/>
    <col min="4" max="4" width="60" customWidth="1"/>
  </cols>
  <sheetData>
    <row r="2" spans="2:4" ht="21" x14ac:dyDescent="0.4">
      <c r="B2" s="6" t="s">
        <v>18</v>
      </c>
    </row>
    <row r="3" spans="2:4" x14ac:dyDescent="0.3">
      <c r="B3" s="7" t="s">
        <v>19</v>
      </c>
    </row>
    <row r="5" spans="2:4" x14ac:dyDescent="0.3">
      <c r="B5" s="8" t="s">
        <v>20</v>
      </c>
      <c r="C5" s="9"/>
      <c r="D5" s="7" t="s">
        <v>21</v>
      </c>
    </row>
    <row r="6" spans="2:4" x14ac:dyDescent="0.3">
      <c r="B6" s="8" t="s">
        <v>22</v>
      </c>
      <c r="C6" s="9"/>
      <c r="D6" s="7" t="s">
        <v>21</v>
      </c>
    </row>
    <row r="7" spans="2:4" x14ac:dyDescent="0.3">
      <c r="B7" s="8" t="s">
        <v>23</v>
      </c>
      <c r="C7" s="9"/>
      <c r="D7" s="7" t="s">
        <v>24</v>
      </c>
    </row>
    <row r="9" spans="2:4" ht="15.6" x14ac:dyDescent="0.3">
      <c r="B9" s="10" t="s">
        <v>25</v>
      </c>
    </row>
    <row r="10" spans="2:4" x14ac:dyDescent="0.3">
      <c r="B10" s="8" t="s">
        <v>26</v>
      </c>
      <c r="C10" s="11">
        <f>SUMIFS(Backlog!L:L,Backlog!G:G,"&lt;&gt;Gestrichen")</f>
        <v>4.333333333333333</v>
      </c>
      <c r="D10" s="7" t="s">
        <v>27</v>
      </c>
    </row>
    <row r="11" spans="2:4" x14ac:dyDescent="0.3">
      <c r="B11" s="8" t="s">
        <v>28</v>
      </c>
      <c r="C11" s="11" t="str">
        <f>IF(C7="","",C7-C10)</f>
        <v/>
      </c>
      <c r="D11" s="7" t="s">
        <v>29</v>
      </c>
    </row>
    <row r="12" spans="2:4" x14ac:dyDescent="0.3">
      <c r="B12" s="8" t="s">
        <v>30</v>
      </c>
      <c r="C12" s="11">
        <f>SUM(Backlog!M:M)</f>
        <v>6</v>
      </c>
      <c r="D12" s="7" t="s">
        <v>31</v>
      </c>
    </row>
    <row r="13" spans="2:4" x14ac:dyDescent="0.3">
      <c r="B13" s="8" t="s">
        <v>32</v>
      </c>
      <c r="C13" s="12">
        <f>IFERROR(SUMIFS(Backlog!M:M,Backlog!G:G,"Erledigt")/SUMIFS(Backlog!L:L,Backlog!G:G,"Erledigt"),"")</f>
        <v>1.3846153846153848</v>
      </c>
      <c r="D13" s="7" t="s">
        <v>33</v>
      </c>
    </row>
    <row r="15" spans="2:4" ht="15.6" x14ac:dyDescent="0.3">
      <c r="B15" s="10" t="s">
        <v>34</v>
      </c>
    </row>
    <row r="16" spans="2:4" x14ac:dyDescent="0.3">
      <c r="B16" s="8" t="s">
        <v>35</v>
      </c>
      <c r="C16" s="13">
        <f>COUNTA(Backlog!C2:C201)</f>
        <v>1</v>
      </c>
      <c r="D16" s="7"/>
    </row>
    <row r="17" spans="2:4" x14ac:dyDescent="0.3">
      <c r="B17" s="8" t="s">
        <v>36</v>
      </c>
      <c r="C17" s="13">
        <f>COUNTIF(Backlog!G2:G201,"Erledigt")</f>
        <v>1</v>
      </c>
      <c r="D17" s="7"/>
    </row>
    <row r="18" spans="2:4" x14ac:dyDescent="0.3">
      <c r="B18" s="8" t="s">
        <v>37</v>
      </c>
      <c r="C18" s="13">
        <f>COUNTIF(Backlog!G2:G201,"Gestrichen")</f>
        <v>0</v>
      </c>
      <c r="D18" s="7"/>
    </row>
    <row r="19" spans="2:4" x14ac:dyDescent="0.3">
      <c r="B19" s="8" t="s">
        <v>38</v>
      </c>
      <c r="C19" s="14">
        <f>IFERROR(C18/C16,"")</f>
        <v>0</v>
      </c>
      <c r="D19" s="7"/>
    </row>
    <row r="20" spans="2:4" x14ac:dyDescent="0.3">
      <c r="B20" s="8" t="s">
        <v>39</v>
      </c>
      <c r="C20" s="14">
        <f>IFERROR(COUNTIFS(Backlog!F2:F201,"Must",Backlog!G2:G201,"Erledigt")/COUNTIF(Backlog!F2:F201,"Must"),"")</f>
        <v>1</v>
      </c>
      <c r="D20" s="7" t="s">
        <v>40</v>
      </c>
    </row>
    <row r="22" spans="2:4" ht="15.6" x14ac:dyDescent="0.3">
      <c r="B22" s="10" t="s">
        <v>41</v>
      </c>
    </row>
    <row r="23" spans="2:4" x14ac:dyDescent="0.3">
      <c r="B23" s="8" t="s">
        <v>42</v>
      </c>
      <c r="C23" s="13">
        <f>COUNTIFS(Bugs!H2:H201,"A",Bugs!J2:J201,"&lt;&gt;Verifiziert",Bugs!J2:J201,"&lt;&gt;Geschlossen",Bugs!J2:J201,"&lt;&gt;Won't fix")</f>
        <v>1</v>
      </c>
      <c r="D23" s="7" t="s">
        <v>43</v>
      </c>
    </row>
    <row r="24" spans="2:4" x14ac:dyDescent="0.3">
      <c r="B24" s="8" t="s">
        <v>44</v>
      </c>
      <c r="C24" s="13">
        <f>COUNTA(Bugs!B2:B201)</f>
        <v>1</v>
      </c>
      <c r="D24" s="7"/>
    </row>
    <row r="25" spans="2:4" x14ac:dyDescent="0.3">
      <c r="B25" s="8" t="s">
        <v>45</v>
      </c>
      <c r="C25" s="13">
        <f>COUNTIF(Risiken!F2:F61,"&gt;=15")</f>
        <v>1</v>
      </c>
      <c r="D25" s="7"/>
    </row>
    <row r="26" spans="2:4" x14ac:dyDescent="0.3">
      <c r="B26" s="8" t="s">
        <v>46</v>
      </c>
      <c r="C26" s="13">
        <f>COUNTIF(Risiken!K2:K61,"Ja")</f>
        <v>0</v>
      </c>
      <c r="D26" s="7"/>
    </row>
    <row r="27" spans="2:4" x14ac:dyDescent="0.3">
      <c r="B27" s="8" t="s">
        <v>47</v>
      </c>
      <c r="C27" s="13">
        <f>COUNTA(Playtests!C2:C101)</f>
        <v>1</v>
      </c>
      <c r="D27" s="7" t="s">
        <v>48</v>
      </c>
    </row>
    <row r="29" spans="2:4" ht="15.6" x14ac:dyDescent="0.3">
      <c r="B29" s="10" t="s">
        <v>49</v>
      </c>
    </row>
    <row r="30" spans="2:4" x14ac:dyDescent="0.3">
      <c r="B30" s="8" t="s">
        <v>50</v>
      </c>
      <c r="C30" s="14">
        <f>IFERROR(COUNTA(Backlog!P2:P201)/C16,"")</f>
        <v>1</v>
      </c>
      <c r="D30" s="7" t="s">
        <v>51</v>
      </c>
    </row>
    <row r="31" spans="2:4" x14ac:dyDescent="0.3">
      <c r="B31" s="8" t="s">
        <v>52</v>
      </c>
      <c r="C31" s="13">
        <f>COUNTIFS(Backlog!F2:F201,"Must",Backlog!P2:P201,"")</f>
        <v>0</v>
      </c>
      <c r="D31" s="7" t="s">
        <v>53</v>
      </c>
    </row>
    <row r="33" spans="2:4" ht="15.6" x14ac:dyDescent="0.3">
      <c r="B33" s="10" t="s">
        <v>54</v>
      </c>
    </row>
    <row r="34" spans="2:4" x14ac:dyDescent="0.3">
      <c r="B34" s="8" t="s">
        <v>55</v>
      </c>
      <c r="C34" s="11">
        <f>SUM(Zeitlog!B2:B501)</f>
        <v>2.5</v>
      </c>
      <c r="D34" s="7" t="s">
        <v>56</v>
      </c>
    </row>
    <row r="35" spans="2:4" x14ac:dyDescent="0.3">
      <c r="B35" s="8" t="s">
        <v>57</v>
      </c>
      <c r="C35" s="14" t="str">
        <f>IFERROR(C34/C7,"")</f>
        <v/>
      </c>
      <c r="D35" s="7" t="s">
        <v>58</v>
      </c>
    </row>
    <row r="36" spans="2:4" x14ac:dyDescent="0.3">
      <c r="B36" s="8" t="s">
        <v>59</v>
      </c>
      <c r="C36" s="11" t="str">
        <f>IF(C7="","",C7-C34)</f>
        <v/>
      </c>
      <c r="D36" s="7"/>
    </row>
    <row r="37" spans="2:4" x14ac:dyDescent="0.3">
      <c r="B37" s="8" t="s">
        <v>60</v>
      </c>
      <c r="C37" s="11">
        <f>SUMIF(Zeitlog!C2:C501,"Producer",Zeitlog!B2:B501)</f>
        <v>0</v>
      </c>
      <c r="D37" s="7" t="str">
        <f t="shared" ref="D37:D42" si="0">IFERROR(TEXT(C37/$C$34,"0%")&amp;" der Gesamtzeit","")</f>
        <v>0% der Gesamtzeit</v>
      </c>
    </row>
    <row r="38" spans="2:4" x14ac:dyDescent="0.3">
      <c r="B38" s="8" t="s">
        <v>61</v>
      </c>
      <c r="C38" s="11">
        <f>SUMIF(Zeitlog!C2:C501,"Game Designer",Zeitlog!B2:B501)</f>
        <v>0</v>
      </c>
      <c r="D38" s="7" t="str">
        <f t="shared" si="0"/>
        <v>0% der Gesamtzeit</v>
      </c>
    </row>
    <row r="39" spans="2:4" x14ac:dyDescent="0.3">
      <c r="B39" s="8" t="s">
        <v>62</v>
      </c>
      <c r="C39" s="11">
        <f>SUMIF(Zeitlog!C2:C501,"Technical Director",Zeitlog!B2:B501)</f>
        <v>0</v>
      </c>
      <c r="D39" s="7" t="str">
        <f t="shared" si="0"/>
        <v>0% der Gesamtzeit</v>
      </c>
    </row>
    <row r="40" spans="2:4" x14ac:dyDescent="0.3">
      <c r="B40" s="8" t="s">
        <v>63</v>
      </c>
      <c r="C40" s="11">
        <f>SUMIF(Zeitlog!C2:C501,"Programmer",Zeitlog!B2:B501)</f>
        <v>0</v>
      </c>
      <c r="D40" s="7" t="str">
        <f t="shared" si="0"/>
        <v>0% der Gesamtzeit</v>
      </c>
    </row>
    <row r="41" spans="2:4" x14ac:dyDescent="0.3">
      <c r="B41" s="8" t="s">
        <v>64</v>
      </c>
      <c r="C41" s="11">
        <f>SUMIF(Zeitlog!C2:C501,"QA",Zeitlog!B2:B501)</f>
        <v>0</v>
      </c>
      <c r="D41" s="7" t="str">
        <f t="shared" si="0"/>
        <v>0% der Gesamtzeit</v>
      </c>
    </row>
    <row r="42" spans="2:4" x14ac:dyDescent="0.3">
      <c r="B42" s="8" t="s">
        <v>65</v>
      </c>
      <c r="C42" s="11">
        <f>SUMIF(Zeitlog!C2:C501,"Einarbeitung / Lernen",Zeitlog!B2:B501)</f>
        <v>2.5</v>
      </c>
      <c r="D42" s="7" t="str">
        <f t="shared" si="0"/>
        <v>100% der Gesamtzeit</v>
      </c>
    </row>
  </sheetData>
  <conditionalFormatting sqref="C11">
    <cfRule type="cellIs" dxfId="5" priority="2" operator="lessThan">
      <formula>0</formula>
    </cfRule>
  </conditionalFormatting>
  <conditionalFormatting sqref="C23">
    <cfRule type="cellIs" dxfId="4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tabSelected="1" zoomScaleNormal="100" workbookViewId="0">
      <pane ySplit="1" topLeftCell="A2" activePane="bottomLeft" state="frozen"/>
      <selection pane="bottomLeft" activeCell="D7" sqref="D7"/>
    </sheetView>
  </sheetViews>
  <sheetFormatPr baseColWidth="10" defaultColWidth="8.6640625" defaultRowHeight="14.4" x14ac:dyDescent="0.3"/>
  <cols>
    <col min="1" max="1" width="12" customWidth="1"/>
    <col min="2" max="2" width="10" customWidth="1"/>
    <col min="3" max="3" width="22" customWidth="1"/>
    <col min="4" max="4" width="70" customWidth="1"/>
    <col min="6" max="6" width="50" customWidth="1"/>
  </cols>
  <sheetData>
    <row r="1" spans="1:6" ht="31.5" customHeight="1" x14ac:dyDescent="0.3">
      <c r="A1" s="15" t="s">
        <v>66</v>
      </c>
      <c r="B1" s="15" t="s">
        <v>67</v>
      </c>
      <c r="C1" s="15" t="s">
        <v>68</v>
      </c>
      <c r="D1" s="15" t="s">
        <v>69</v>
      </c>
      <c r="F1" s="16" t="s">
        <v>70</v>
      </c>
    </row>
    <row r="2" spans="1:6" x14ac:dyDescent="0.3">
      <c r="A2" s="17">
        <v>46303</v>
      </c>
      <c r="B2" s="18">
        <v>2.5</v>
      </c>
      <c r="C2" s="19" t="s">
        <v>71</v>
      </c>
      <c r="D2" s="19" t="s">
        <v>176</v>
      </c>
    </row>
    <row r="3" spans="1:6" x14ac:dyDescent="0.3">
      <c r="A3" s="20"/>
      <c r="B3" s="21"/>
      <c r="C3" s="22"/>
      <c r="D3" s="22"/>
    </row>
    <row r="4" spans="1:6" x14ac:dyDescent="0.3">
      <c r="A4" s="20"/>
      <c r="B4" s="21"/>
      <c r="C4" s="22"/>
      <c r="D4" s="22"/>
    </row>
    <row r="5" spans="1:6" x14ac:dyDescent="0.3">
      <c r="A5" s="20"/>
      <c r="B5" s="21"/>
      <c r="C5" s="22"/>
      <c r="D5" s="22"/>
    </row>
    <row r="6" spans="1:6" x14ac:dyDescent="0.3">
      <c r="A6" s="20"/>
      <c r="B6" s="21"/>
      <c r="C6" s="22"/>
      <c r="D6" s="22"/>
    </row>
    <row r="7" spans="1:6" x14ac:dyDescent="0.3">
      <c r="A7" s="20"/>
      <c r="B7" s="21"/>
      <c r="C7" s="22"/>
      <c r="D7" s="22"/>
    </row>
    <row r="8" spans="1:6" x14ac:dyDescent="0.3">
      <c r="A8" s="20"/>
      <c r="B8" s="21"/>
      <c r="C8" s="22"/>
      <c r="D8" s="22"/>
    </row>
    <row r="9" spans="1:6" x14ac:dyDescent="0.3">
      <c r="A9" s="20"/>
      <c r="B9" s="21"/>
      <c r="C9" s="22"/>
      <c r="D9" s="22"/>
    </row>
    <row r="10" spans="1:6" x14ac:dyDescent="0.3">
      <c r="A10" s="20"/>
      <c r="B10" s="21"/>
      <c r="C10" s="22"/>
      <c r="D10" s="22"/>
    </row>
    <row r="11" spans="1:6" x14ac:dyDescent="0.3">
      <c r="A11" s="20"/>
      <c r="B11" s="21"/>
      <c r="C11" s="22"/>
      <c r="D11" s="22"/>
    </row>
    <row r="12" spans="1:6" x14ac:dyDescent="0.3">
      <c r="A12" s="20"/>
      <c r="B12" s="21"/>
      <c r="C12" s="22"/>
      <c r="D12" s="22"/>
    </row>
    <row r="13" spans="1:6" x14ac:dyDescent="0.3">
      <c r="A13" s="20"/>
      <c r="B13" s="21"/>
      <c r="C13" s="22"/>
      <c r="D13" s="22"/>
    </row>
    <row r="14" spans="1:6" x14ac:dyDescent="0.3">
      <c r="A14" s="20"/>
      <c r="B14" s="21"/>
      <c r="C14" s="22"/>
      <c r="D14" s="22"/>
    </row>
    <row r="15" spans="1:6" x14ac:dyDescent="0.3">
      <c r="A15" s="20"/>
      <c r="B15" s="21"/>
      <c r="C15" s="22"/>
      <c r="D15" s="22"/>
    </row>
    <row r="16" spans="1:6" x14ac:dyDescent="0.3">
      <c r="A16" s="20"/>
      <c r="B16" s="21"/>
      <c r="C16" s="22"/>
      <c r="D16" s="22"/>
    </row>
    <row r="17" spans="1:4" x14ac:dyDescent="0.3">
      <c r="A17" s="20"/>
      <c r="B17" s="21"/>
      <c r="C17" s="22"/>
      <c r="D17" s="22"/>
    </row>
    <row r="18" spans="1:4" x14ac:dyDescent="0.3">
      <c r="A18" s="20"/>
      <c r="B18" s="21"/>
      <c r="C18" s="22"/>
      <c r="D18" s="22"/>
    </row>
    <row r="19" spans="1:4" x14ac:dyDescent="0.3">
      <c r="A19" s="20"/>
      <c r="B19" s="21"/>
      <c r="C19" s="22"/>
      <c r="D19" s="22"/>
    </row>
    <row r="20" spans="1:4" x14ac:dyDescent="0.3">
      <c r="A20" s="20"/>
      <c r="B20" s="21"/>
      <c r="C20" s="22"/>
      <c r="D20" s="22"/>
    </row>
    <row r="21" spans="1:4" x14ac:dyDescent="0.3">
      <c r="A21" s="20"/>
      <c r="B21" s="21"/>
      <c r="C21" s="22"/>
      <c r="D21" s="22"/>
    </row>
    <row r="22" spans="1:4" x14ac:dyDescent="0.3">
      <c r="A22" s="20"/>
      <c r="B22" s="21"/>
      <c r="C22" s="22"/>
      <c r="D22" s="22"/>
    </row>
    <row r="23" spans="1:4" x14ac:dyDescent="0.3">
      <c r="A23" s="20"/>
      <c r="B23" s="21"/>
      <c r="C23" s="22"/>
      <c r="D23" s="22"/>
    </row>
    <row r="24" spans="1:4" x14ac:dyDescent="0.3">
      <c r="A24" s="20"/>
      <c r="B24" s="21"/>
      <c r="C24" s="22"/>
      <c r="D24" s="22"/>
    </row>
    <row r="25" spans="1:4" x14ac:dyDescent="0.3">
      <c r="A25" s="20"/>
      <c r="B25" s="21"/>
      <c r="C25" s="22"/>
      <c r="D25" s="22"/>
    </row>
    <row r="26" spans="1:4" x14ac:dyDescent="0.3">
      <c r="A26" s="20"/>
      <c r="B26" s="21"/>
      <c r="C26" s="22"/>
      <c r="D26" s="22"/>
    </row>
    <row r="27" spans="1:4" x14ac:dyDescent="0.3">
      <c r="A27" s="20"/>
      <c r="B27" s="21"/>
      <c r="C27" s="22"/>
      <c r="D27" s="22"/>
    </row>
    <row r="28" spans="1:4" x14ac:dyDescent="0.3">
      <c r="A28" s="20"/>
      <c r="B28" s="21"/>
      <c r="C28" s="22"/>
      <c r="D28" s="22"/>
    </row>
    <row r="29" spans="1:4" x14ac:dyDescent="0.3">
      <c r="A29" s="20"/>
      <c r="B29" s="21"/>
      <c r="C29" s="22"/>
      <c r="D29" s="22"/>
    </row>
    <row r="30" spans="1:4" x14ac:dyDescent="0.3">
      <c r="A30" s="20"/>
      <c r="B30" s="21"/>
      <c r="C30" s="22"/>
      <c r="D30" s="22"/>
    </row>
    <row r="31" spans="1:4" x14ac:dyDescent="0.3">
      <c r="A31" s="20"/>
      <c r="B31" s="21"/>
      <c r="C31" s="22"/>
      <c r="D31" s="22"/>
    </row>
    <row r="32" spans="1:4" x14ac:dyDescent="0.3">
      <c r="A32" s="20"/>
      <c r="B32" s="21"/>
      <c r="C32" s="22"/>
      <c r="D32" s="22"/>
    </row>
    <row r="33" spans="1:4" x14ac:dyDescent="0.3">
      <c r="A33" s="20"/>
      <c r="B33" s="21"/>
      <c r="C33" s="22"/>
      <c r="D33" s="22"/>
    </row>
    <row r="34" spans="1:4" x14ac:dyDescent="0.3">
      <c r="A34" s="20"/>
      <c r="B34" s="21"/>
      <c r="C34" s="22"/>
      <c r="D34" s="22"/>
    </row>
    <row r="35" spans="1:4" x14ac:dyDescent="0.3">
      <c r="A35" s="20"/>
      <c r="B35" s="21"/>
      <c r="C35" s="22"/>
      <c r="D35" s="22"/>
    </row>
    <row r="36" spans="1:4" x14ac:dyDescent="0.3">
      <c r="A36" s="20"/>
      <c r="B36" s="21"/>
      <c r="C36" s="22"/>
      <c r="D36" s="22"/>
    </row>
    <row r="37" spans="1:4" x14ac:dyDescent="0.3">
      <c r="A37" s="20"/>
      <c r="B37" s="21"/>
      <c r="C37" s="22"/>
      <c r="D37" s="22"/>
    </row>
    <row r="38" spans="1:4" x14ac:dyDescent="0.3">
      <c r="A38" s="20"/>
      <c r="B38" s="21"/>
      <c r="C38" s="22"/>
      <c r="D38" s="22"/>
    </row>
    <row r="39" spans="1:4" x14ac:dyDescent="0.3">
      <c r="A39" s="20"/>
      <c r="B39" s="21"/>
      <c r="C39" s="22"/>
      <c r="D39" s="22"/>
    </row>
    <row r="40" spans="1:4" x14ac:dyDescent="0.3">
      <c r="A40" s="20"/>
      <c r="B40" s="21"/>
      <c r="C40" s="22"/>
      <c r="D40" s="22"/>
    </row>
    <row r="41" spans="1:4" x14ac:dyDescent="0.3">
      <c r="A41" s="20"/>
      <c r="B41" s="21"/>
      <c r="C41" s="22"/>
      <c r="D41" s="22"/>
    </row>
    <row r="42" spans="1:4" x14ac:dyDescent="0.3">
      <c r="A42" s="20"/>
      <c r="B42" s="21"/>
      <c r="C42" s="22"/>
      <c r="D42" s="22"/>
    </row>
    <row r="43" spans="1:4" x14ac:dyDescent="0.3">
      <c r="A43" s="20"/>
      <c r="B43" s="21"/>
      <c r="C43" s="22"/>
      <c r="D43" s="22"/>
    </row>
    <row r="44" spans="1:4" x14ac:dyDescent="0.3">
      <c r="A44" s="20"/>
      <c r="B44" s="21"/>
      <c r="C44" s="22"/>
      <c r="D44" s="22"/>
    </row>
    <row r="45" spans="1:4" x14ac:dyDescent="0.3">
      <c r="A45" s="20"/>
      <c r="B45" s="21"/>
      <c r="C45" s="22"/>
      <c r="D45" s="22"/>
    </row>
    <row r="46" spans="1:4" x14ac:dyDescent="0.3">
      <c r="A46" s="20"/>
      <c r="B46" s="21"/>
      <c r="C46" s="22"/>
      <c r="D46" s="22"/>
    </row>
    <row r="47" spans="1:4" x14ac:dyDescent="0.3">
      <c r="A47" s="20"/>
      <c r="B47" s="21"/>
      <c r="C47" s="22"/>
      <c r="D47" s="22"/>
    </row>
    <row r="48" spans="1:4" x14ac:dyDescent="0.3">
      <c r="A48" s="20"/>
      <c r="B48" s="21"/>
      <c r="C48" s="22"/>
      <c r="D48" s="22"/>
    </row>
    <row r="49" spans="1:4" x14ac:dyDescent="0.3">
      <c r="A49" s="20"/>
      <c r="B49" s="21"/>
      <c r="C49" s="22"/>
      <c r="D49" s="22"/>
    </row>
    <row r="50" spans="1:4" x14ac:dyDescent="0.3">
      <c r="A50" s="20"/>
      <c r="B50" s="21"/>
      <c r="C50" s="22"/>
      <c r="D50" s="22"/>
    </row>
    <row r="51" spans="1:4" x14ac:dyDescent="0.3">
      <c r="A51" s="20"/>
      <c r="B51" s="21"/>
      <c r="C51" s="22"/>
      <c r="D51" s="22"/>
    </row>
    <row r="52" spans="1:4" x14ac:dyDescent="0.3">
      <c r="A52" s="20"/>
      <c r="B52" s="21"/>
      <c r="C52" s="22"/>
      <c r="D52" s="22"/>
    </row>
    <row r="53" spans="1:4" x14ac:dyDescent="0.3">
      <c r="A53" s="20"/>
      <c r="B53" s="21"/>
      <c r="C53" s="22"/>
      <c r="D53" s="22"/>
    </row>
    <row r="54" spans="1:4" x14ac:dyDescent="0.3">
      <c r="A54" s="20"/>
      <c r="B54" s="21"/>
      <c r="C54" s="22"/>
      <c r="D54" s="22"/>
    </row>
    <row r="55" spans="1:4" x14ac:dyDescent="0.3">
      <c r="A55" s="20"/>
      <c r="B55" s="21"/>
      <c r="C55" s="22"/>
      <c r="D55" s="22"/>
    </row>
    <row r="56" spans="1:4" x14ac:dyDescent="0.3">
      <c r="A56" s="20"/>
      <c r="B56" s="21"/>
      <c r="C56" s="22"/>
      <c r="D56" s="22"/>
    </row>
    <row r="57" spans="1:4" x14ac:dyDescent="0.3">
      <c r="A57" s="20"/>
      <c r="B57" s="21"/>
      <c r="C57" s="22"/>
      <c r="D57" s="22"/>
    </row>
    <row r="58" spans="1:4" x14ac:dyDescent="0.3">
      <c r="A58" s="20"/>
      <c r="B58" s="21"/>
      <c r="C58" s="22"/>
      <c r="D58" s="22"/>
    </row>
    <row r="59" spans="1:4" x14ac:dyDescent="0.3">
      <c r="A59" s="20"/>
      <c r="B59" s="21"/>
      <c r="C59" s="22"/>
      <c r="D59" s="22"/>
    </row>
    <row r="60" spans="1:4" x14ac:dyDescent="0.3">
      <c r="A60" s="20"/>
      <c r="B60" s="21"/>
      <c r="C60" s="22"/>
      <c r="D60" s="22"/>
    </row>
    <row r="61" spans="1:4" x14ac:dyDescent="0.3">
      <c r="A61" s="20"/>
      <c r="B61" s="21"/>
      <c r="C61" s="22"/>
      <c r="D61" s="22"/>
    </row>
    <row r="62" spans="1:4" x14ac:dyDescent="0.3">
      <c r="A62" s="20"/>
      <c r="B62" s="21"/>
      <c r="C62" s="22"/>
      <c r="D62" s="22"/>
    </row>
    <row r="63" spans="1:4" x14ac:dyDescent="0.3">
      <c r="A63" s="20"/>
      <c r="B63" s="21"/>
      <c r="C63" s="22"/>
      <c r="D63" s="22"/>
    </row>
    <row r="64" spans="1:4" x14ac:dyDescent="0.3">
      <c r="A64" s="20"/>
      <c r="B64" s="21"/>
      <c r="C64" s="22"/>
      <c r="D64" s="22"/>
    </row>
    <row r="65" spans="1:4" x14ac:dyDescent="0.3">
      <c r="A65" s="20"/>
      <c r="B65" s="21"/>
      <c r="C65" s="22"/>
      <c r="D65" s="22"/>
    </row>
    <row r="66" spans="1:4" x14ac:dyDescent="0.3">
      <c r="A66" s="20"/>
      <c r="B66" s="21"/>
      <c r="C66" s="22"/>
      <c r="D66" s="22"/>
    </row>
    <row r="67" spans="1:4" x14ac:dyDescent="0.3">
      <c r="A67" s="20"/>
      <c r="B67" s="21"/>
      <c r="C67" s="22"/>
      <c r="D67" s="22"/>
    </row>
    <row r="68" spans="1:4" x14ac:dyDescent="0.3">
      <c r="A68" s="20"/>
      <c r="B68" s="21"/>
      <c r="C68" s="22"/>
      <c r="D68" s="22"/>
    </row>
    <row r="69" spans="1:4" x14ac:dyDescent="0.3">
      <c r="A69" s="20"/>
      <c r="B69" s="21"/>
      <c r="C69" s="22"/>
      <c r="D69" s="22"/>
    </row>
    <row r="70" spans="1:4" x14ac:dyDescent="0.3">
      <c r="A70" s="20"/>
      <c r="B70" s="21"/>
      <c r="C70" s="22"/>
      <c r="D70" s="22"/>
    </row>
    <row r="71" spans="1:4" x14ac:dyDescent="0.3">
      <c r="A71" s="20"/>
      <c r="B71" s="21"/>
      <c r="C71" s="22"/>
      <c r="D71" s="22"/>
    </row>
    <row r="72" spans="1:4" x14ac:dyDescent="0.3">
      <c r="A72" s="20"/>
      <c r="B72" s="21"/>
      <c r="C72" s="22"/>
      <c r="D72" s="22"/>
    </row>
    <row r="73" spans="1:4" x14ac:dyDescent="0.3">
      <c r="A73" s="20"/>
      <c r="B73" s="21"/>
      <c r="C73" s="22"/>
      <c r="D73" s="22"/>
    </row>
    <row r="74" spans="1:4" x14ac:dyDescent="0.3">
      <c r="A74" s="20"/>
      <c r="B74" s="21"/>
      <c r="C74" s="22"/>
      <c r="D74" s="22"/>
    </row>
    <row r="75" spans="1:4" x14ac:dyDescent="0.3">
      <c r="A75" s="20"/>
      <c r="B75" s="21"/>
      <c r="C75" s="22"/>
      <c r="D75" s="22"/>
    </row>
    <row r="76" spans="1:4" x14ac:dyDescent="0.3">
      <c r="A76" s="20"/>
      <c r="B76" s="21"/>
      <c r="C76" s="22"/>
      <c r="D76" s="22"/>
    </row>
    <row r="77" spans="1:4" x14ac:dyDescent="0.3">
      <c r="A77" s="20"/>
      <c r="B77" s="21"/>
      <c r="C77" s="22"/>
      <c r="D77" s="22"/>
    </row>
    <row r="78" spans="1:4" x14ac:dyDescent="0.3">
      <c r="A78" s="20"/>
      <c r="B78" s="21"/>
      <c r="C78" s="22"/>
      <c r="D78" s="22"/>
    </row>
    <row r="79" spans="1:4" x14ac:dyDescent="0.3">
      <c r="A79" s="20"/>
      <c r="B79" s="21"/>
      <c r="C79" s="22"/>
      <c r="D79" s="22"/>
    </row>
    <row r="80" spans="1:4" x14ac:dyDescent="0.3">
      <c r="A80" s="20"/>
      <c r="B80" s="21"/>
      <c r="C80" s="22"/>
      <c r="D80" s="22"/>
    </row>
    <row r="81" spans="1:4" x14ac:dyDescent="0.3">
      <c r="A81" s="20"/>
      <c r="B81" s="21"/>
      <c r="C81" s="22"/>
      <c r="D81" s="22"/>
    </row>
    <row r="82" spans="1:4" x14ac:dyDescent="0.3">
      <c r="A82" s="20"/>
      <c r="B82" s="21"/>
      <c r="C82" s="22"/>
      <c r="D82" s="22"/>
    </row>
    <row r="83" spans="1:4" x14ac:dyDescent="0.3">
      <c r="A83" s="20"/>
      <c r="B83" s="21"/>
      <c r="C83" s="22"/>
      <c r="D83" s="22"/>
    </row>
    <row r="84" spans="1:4" x14ac:dyDescent="0.3">
      <c r="A84" s="20"/>
      <c r="B84" s="21"/>
      <c r="C84" s="22"/>
      <c r="D84" s="22"/>
    </row>
    <row r="85" spans="1:4" x14ac:dyDescent="0.3">
      <c r="A85" s="20"/>
      <c r="B85" s="21"/>
      <c r="C85" s="22"/>
      <c r="D85" s="22"/>
    </row>
    <row r="86" spans="1:4" x14ac:dyDescent="0.3">
      <c r="A86" s="20"/>
      <c r="B86" s="21"/>
      <c r="C86" s="22"/>
      <c r="D86" s="22"/>
    </row>
    <row r="87" spans="1:4" x14ac:dyDescent="0.3">
      <c r="A87" s="20"/>
      <c r="B87" s="21"/>
      <c r="C87" s="22"/>
      <c r="D87" s="22"/>
    </row>
    <row r="88" spans="1:4" x14ac:dyDescent="0.3">
      <c r="A88" s="20"/>
      <c r="B88" s="21"/>
      <c r="C88" s="22"/>
      <c r="D88" s="22"/>
    </row>
    <row r="89" spans="1:4" x14ac:dyDescent="0.3">
      <c r="A89" s="20"/>
      <c r="B89" s="21"/>
      <c r="C89" s="22"/>
      <c r="D89" s="22"/>
    </row>
    <row r="90" spans="1:4" x14ac:dyDescent="0.3">
      <c r="A90" s="20"/>
      <c r="B90" s="21"/>
      <c r="C90" s="22"/>
      <c r="D90" s="22"/>
    </row>
    <row r="91" spans="1:4" x14ac:dyDescent="0.3">
      <c r="A91" s="20"/>
      <c r="B91" s="21"/>
      <c r="C91" s="22"/>
      <c r="D91" s="22"/>
    </row>
    <row r="92" spans="1:4" x14ac:dyDescent="0.3">
      <c r="A92" s="20"/>
      <c r="B92" s="21"/>
      <c r="C92" s="22"/>
      <c r="D92" s="22"/>
    </row>
    <row r="93" spans="1:4" x14ac:dyDescent="0.3">
      <c r="A93" s="20"/>
      <c r="B93" s="21"/>
      <c r="C93" s="22"/>
      <c r="D93" s="22"/>
    </row>
    <row r="94" spans="1:4" x14ac:dyDescent="0.3">
      <c r="A94" s="20"/>
      <c r="B94" s="21"/>
      <c r="C94" s="22"/>
      <c r="D94" s="22"/>
    </row>
    <row r="95" spans="1:4" x14ac:dyDescent="0.3">
      <c r="A95" s="20"/>
      <c r="B95" s="21"/>
      <c r="C95" s="22"/>
      <c r="D95" s="22"/>
    </row>
    <row r="96" spans="1:4" x14ac:dyDescent="0.3">
      <c r="A96" s="20"/>
      <c r="B96" s="21"/>
      <c r="C96" s="22"/>
      <c r="D96" s="22"/>
    </row>
    <row r="97" spans="1:4" x14ac:dyDescent="0.3">
      <c r="A97" s="20"/>
      <c r="B97" s="21"/>
      <c r="C97" s="22"/>
      <c r="D97" s="22"/>
    </row>
    <row r="98" spans="1:4" x14ac:dyDescent="0.3">
      <c r="A98" s="20"/>
      <c r="B98" s="21"/>
      <c r="C98" s="22"/>
      <c r="D98" s="22"/>
    </row>
    <row r="99" spans="1:4" x14ac:dyDescent="0.3">
      <c r="A99" s="20"/>
      <c r="B99" s="21"/>
      <c r="C99" s="22"/>
      <c r="D99" s="22"/>
    </row>
    <row r="100" spans="1:4" x14ac:dyDescent="0.3">
      <c r="A100" s="20"/>
      <c r="B100" s="21"/>
      <c r="C100" s="22"/>
      <c r="D100" s="22"/>
    </row>
    <row r="101" spans="1:4" x14ac:dyDescent="0.3">
      <c r="A101" s="20"/>
      <c r="B101" s="21"/>
      <c r="C101" s="22"/>
      <c r="D101" s="22"/>
    </row>
    <row r="102" spans="1:4" x14ac:dyDescent="0.3">
      <c r="A102" s="20"/>
      <c r="B102" s="21"/>
      <c r="C102" s="22"/>
      <c r="D102" s="22"/>
    </row>
    <row r="103" spans="1:4" x14ac:dyDescent="0.3">
      <c r="A103" s="20"/>
      <c r="B103" s="21"/>
      <c r="C103" s="22"/>
      <c r="D103" s="22"/>
    </row>
    <row r="104" spans="1:4" x14ac:dyDescent="0.3">
      <c r="A104" s="20"/>
      <c r="B104" s="21"/>
      <c r="C104" s="22"/>
      <c r="D104" s="22"/>
    </row>
    <row r="105" spans="1:4" x14ac:dyDescent="0.3">
      <c r="A105" s="20"/>
      <c r="B105" s="21"/>
      <c r="C105" s="22"/>
      <c r="D105" s="22"/>
    </row>
    <row r="106" spans="1:4" x14ac:dyDescent="0.3">
      <c r="A106" s="20"/>
      <c r="B106" s="21"/>
      <c r="C106" s="22"/>
      <c r="D106" s="22"/>
    </row>
    <row r="107" spans="1:4" x14ac:dyDescent="0.3">
      <c r="A107" s="20"/>
      <c r="B107" s="21"/>
      <c r="C107" s="22"/>
      <c r="D107" s="22"/>
    </row>
    <row r="108" spans="1:4" x14ac:dyDescent="0.3">
      <c r="A108" s="20"/>
      <c r="B108" s="21"/>
      <c r="C108" s="22"/>
      <c r="D108" s="22"/>
    </row>
    <row r="109" spans="1:4" x14ac:dyDescent="0.3">
      <c r="A109" s="20"/>
      <c r="B109" s="21"/>
      <c r="C109" s="22"/>
      <c r="D109" s="22"/>
    </row>
    <row r="110" spans="1:4" x14ac:dyDescent="0.3">
      <c r="A110" s="20"/>
      <c r="B110" s="21"/>
      <c r="C110" s="22"/>
      <c r="D110" s="22"/>
    </row>
    <row r="111" spans="1:4" x14ac:dyDescent="0.3">
      <c r="A111" s="20"/>
      <c r="B111" s="21"/>
      <c r="C111" s="22"/>
      <c r="D111" s="22"/>
    </row>
    <row r="112" spans="1:4" x14ac:dyDescent="0.3">
      <c r="A112" s="20"/>
      <c r="B112" s="21"/>
      <c r="C112" s="22"/>
      <c r="D112" s="22"/>
    </row>
    <row r="113" spans="1:4" x14ac:dyDescent="0.3">
      <c r="A113" s="20"/>
      <c r="B113" s="21"/>
      <c r="C113" s="22"/>
      <c r="D113" s="22"/>
    </row>
    <row r="114" spans="1:4" x14ac:dyDescent="0.3">
      <c r="A114" s="20"/>
      <c r="B114" s="21"/>
      <c r="C114" s="22"/>
      <c r="D114" s="22"/>
    </row>
    <row r="115" spans="1:4" x14ac:dyDescent="0.3">
      <c r="A115" s="20"/>
      <c r="B115" s="21"/>
      <c r="C115" s="22"/>
      <c r="D115" s="22"/>
    </row>
    <row r="116" spans="1:4" x14ac:dyDescent="0.3">
      <c r="A116" s="20"/>
      <c r="B116" s="21"/>
      <c r="C116" s="22"/>
      <c r="D116" s="22"/>
    </row>
    <row r="117" spans="1:4" x14ac:dyDescent="0.3">
      <c r="A117" s="20"/>
      <c r="B117" s="21"/>
      <c r="C117" s="22"/>
      <c r="D117" s="22"/>
    </row>
    <row r="118" spans="1:4" x14ac:dyDescent="0.3">
      <c r="A118" s="20"/>
      <c r="B118" s="21"/>
      <c r="C118" s="22"/>
      <c r="D118" s="22"/>
    </row>
    <row r="119" spans="1:4" x14ac:dyDescent="0.3">
      <c r="A119" s="20"/>
      <c r="B119" s="21"/>
      <c r="C119" s="22"/>
      <c r="D119" s="22"/>
    </row>
    <row r="120" spans="1:4" x14ac:dyDescent="0.3">
      <c r="A120" s="20"/>
      <c r="B120" s="21"/>
      <c r="C120" s="22"/>
      <c r="D120" s="22"/>
    </row>
    <row r="121" spans="1:4" x14ac:dyDescent="0.3">
      <c r="A121" s="20"/>
      <c r="B121" s="21"/>
      <c r="C121" s="22"/>
      <c r="D121" s="22"/>
    </row>
    <row r="122" spans="1:4" x14ac:dyDescent="0.3">
      <c r="A122" s="20"/>
      <c r="B122" s="21"/>
      <c r="C122" s="22"/>
      <c r="D122" s="22"/>
    </row>
    <row r="123" spans="1:4" x14ac:dyDescent="0.3">
      <c r="A123" s="20"/>
      <c r="B123" s="21"/>
      <c r="C123" s="22"/>
      <c r="D123" s="22"/>
    </row>
    <row r="124" spans="1:4" x14ac:dyDescent="0.3">
      <c r="A124" s="20"/>
      <c r="B124" s="21"/>
      <c r="C124" s="22"/>
      <c r="D124" s="22"/>
    </row>
    <row r="125" spans="1:4" x14ac:dyDescent="0.3">
      <c r="A125" s="20"/>
      <c r="B125" s="21"/>
      <c r="C125" s="22"/>
      <c r="D125" s="22"/>
    </row>
    <row r="126" spans="1:4" x14ac:dyDescent="0.3">
      <c r="A126" s="20"/>
      <c r="B126" s="21"/>
      <c r="C126" s="22"/>
      <c r="D126" s="22"/>
    </row>
    <row r="127" spans="1:4" x14ac:dyDescent="0.3">
      <c r="A127" s="20"/>
      <c r="B127" s="21"/>
      <c r="C127" s="22"/>
      <c r="D127" s="22"/>
    </row>
    <row r="128" spans="1:4" x14ac:dyDescent="0.3">
      <c r="A128" s="20"/>
      <c r="B128" s="21"/>
      <c r="C128" s="22"/>
      <c r="D128" s="22"/>
    </row>
    <row r="129" spans="1:4" x14ac:dyDescent="0.3">
      <c r="A129" s="20"/>
      <c r="B129" s="21"/>
      <c r="C129" s="22"/>
      <c r="D129" s="22"/>
    </row>
    <row r="130" spans="1:4" x14ac:dyDescent="0.3">
      <c r="A130" s="20"/>
      <c r="B130" s="21"/>
      <c r="C130" s="22"/>
      <c r="D130" s="22"/>
    </row>
    <row r="131" spans="1:4" x14ac:dyDescent="0.3">
      <c r="A131" s="20"/>
      <c r="B131" s="21"/>
      <c r="C131" s="22"/>
      <c r="D131" s="22"/>
    </row>
    <row r="132" spans="1:4" x14ac:dyDescent="0.3">
      <c r="A132" s="20"/>
      <c r="B132" s="21"/>
      <c r="C132" s="22"/>
      <c r="D132" s="22"/>
    </row>
    <row r="133" spans="1:4" x14ac:dyDescent="0.3">
      <c r="A133" s="20"/>
      <c r="B133" s="21"/>
      <c r="C133" s="22"/>
      <c r="D133" s="22"/>
    </row>
    <row r="134" spans="1:4" x14ac:dyDescent="0.3">
      <c r="A134" s="20"/>
      <c r="B134" s="21"/>
      <c r="C134" s="22"/>
      <c r="D134" s="22"/>
    </row>
    <row r="135" spans="1:4" x14ac:dyDescent="0.3">
      <c r="A135" s="20"/>
      <c r="B135" s="21"/>
      <c r="C135" s="22"/>
      <c r="D135" s="22"/>
    </row>
    <row r="136" spans="1:4" x14ac:dyDescent="0.3">
      <c r="A136" s="20"/>
      <c r="B136" s="21"/>
      <c r="C136" s="22"/>
      <c r="D136" s="22"/>
    </row>
    <row r="137" spans="1:4" x14ac:dyDescent="0.3">
      <c r="A137" s="20"/>
      <c r="B137" s="21"/>
      <c r="C137" s="22"/>
      <c r="D137" s="22"/>
    </row>
    <row r="138" spans="1:4" x14ac:dyDescent="0.3">
      <c r="A138" s="20"/>
      <c r="B138" s="21"/>
      <c r="C138" s="22"/>
      <c r="D138" s="22"/>
    </row>
    <row r="139" spans="1:4" x14ac:dyDescent="0.3">
      <c r="A139" s="20"/>
      <c r="B139" s="21"/>
      <c r="C139" s="22"/>
      <c r="D139" s="22"/>
    </row>
    <row r="140" spans="1:4" x14ac:dyDescent="0.3">
      <c r="A140" s="20"/>
      <c r="B140" s="21"/>
      <c r="C140" s="22"/>
      <c r="D140" s="22"/>
    </row>
    <row r="141" spans="1:4" x14ac:dyDescent="0.3">
      <c r="A141" s="20"/>
      <c r="B141" s="21"/>
      <c r="C141" s="22"/>
      <c r="D141" s="22"/>
    </row>
    <row r="142" spans="1:4" x14ac:dyDescent="0.3">
      <c r="A142" s="20"/>
      <c r="B142" s="21"/>
      <c r="C142" s="22"/>
      <c r="D142" s="22"/>
    </row>
    <row r="143" spans="1:4" x14ac:dyDescent="0.3">
      <c r="A143" s="20"/>
      <c r="B143" s="21"/>
      <c r="C143" s="22"/>
      <c r="D143" s="22"/>
    </row>
    <row r="144" spans="1:4" x14ac:dyDescent="0.3">
      <c r="A144" s="20"/>
      <c r="B144" s="21"/>
      <c r="C144" s="22"/>
      <c r="D144" s="22"/>
    </row>
    <row r="145" spans="1:4" x14ac:dyDescent="0.3">
      <c r="A145" s="20"/>
      <c r="B145" s="21"/>
      <c r="C145" s="22"/>
      <c r="D145" s="22"/>
    </row>
    <row r="146" spans="1:4" x14ac:dyDescent="0.3">
      <c r="A146" s="20"/>
      <c r="B146" s="21"/>
      <c r="C146" s="22"/>
      <c r="D146" s="22"/>
    </row>
    <row r="147" spans="1:4" x14ac:dyDescent="0.3">
      <c r="A147" s="20"/>
      <c r="B147" s="21"/>
      <c r="C147" s="22"/>
      <c r="D147" s="22"/>
    </row>
    <row r="148" spans="1:4" x14ac:dyDescent="0.3">
      <c r="A148" s="20"/>
      <c r="B148" s="21"/>
      <c r="C148" s="22"/>
      <c r="D148" s="22"/>
    </row>
    <row r="149" spans="1:4" x14ac:dyDescent="0.3">
      <c r="A149" s="20"/>
      <c r="B149" s="21"/>
      <c r="C149" s="22"/>
      <c r="D149" s="22"/>
    </row>
    <row r="150" spans="1:4" x14ac:dyDescent="0.3">
      <c r="A150" s="20"/>
      <c r="B150" s="21"/>
      <c r="C150" s="22"/>
      <c r="D150" s="22"/>
    </row>
    <row r="151" spans="1:4" x14ac:dyDescent="0.3">
      <c r="A151" s="20"/>
      <c r="B151" s="21"/>
      <c r="C151" s="22"/>
      <c r="D151" s="22"/>
    </row>
    <row r="152" spans="1:4" x14ac:dyDescent="0.3">
      <c r="A152" s="20"/>
      <c r="B152" s="21"/>
      <c r="C152" s="22"/>
      <c r="D152" s="22"/>
    </row>
    <row r="153" spans="1:4" x14ac:dyDescent="0.3">
      <c r="A153" s="20"/>
      <c r="B153" s="21"/>
      <c r="C153" s="22"/>
      <c r="D153" s="22"/>
    </row>
    <row r="154" spans="1:4" x14ac:dyDescent="0.3">
      <c r="A154" s="20"/>
      <c r="B154" s="21"/>
      <c r="C154" s="22"/>
      <c r="D154" s="22"/>
    </row>
    <row r="155" spans="1:4" x14ac:dyDescent="0.3">
      <c r="A155" s="20"/>
      <c r="B155" s="21"/>
      <c r="C155" s="22"/>
      <c r="D155" s="22"/>
    </row>
    <row r="156" spans="1:4" x14ac:dyDescent="0.3">
      <c r="A156" s="20"/>
      <c r="B156" s="21"/>
      <c r="C156" s="22"/>
      <c r="D156" s="22"/>
    </row>
    <row r="157" spans="1:4" x14ac:dyDescent="0.3">
      <c r="A157" s="20"/>
      <c r="B157" s="21"/>
      <c r="C157" s="22"/>
      <c r="D157" s="22"/>
    </row>
    <row r="158" spans="1:4" x14ac:dyDescent="0.3">
      <c r="A158" s="20"/>
      <c r="B158" s="21"/>
      <c r="C158" s="22"/>
      <c r="D158" s="22"/>
    </row>
    <row r="159" spans="1:4" x14ac:dyDescent="0.3">
      <c r="A159" s="20"/>
      <c r="B159" s="21"/>
      <c r="C159" s="22"/>
      <c r="D159" s="22"/>
    </row>
    <row r="160" spans="1:4" x14ac:dyDescent="0.3">
      <c r="A160" s="20"/>
      <c r="B160" s="21"/>
      <c r="C160" s="22"/>
      <c r="D160" s="22"/>
    </row>
    <row r="161" spans="1:4" x14ac:dyDescent="0.3">
      <c r="A161" s="20"/>
      <c r="B161" s="21"/>
      <c r="C161" s="22"/>
      <c r="D161" s="22"/>
    </row>
    <row r="162" spans="1:4" x14ac:dyDescent="0.3">
      <c r="A162" s="20"/>
      <c r="B162" s="21"/>
      <c r="C162" s="22"/>
      <c r="D162" s="22"/>
    </row>
    <row r="163" spans="1:4" x14ac:dyDescent="0.3">
      <c r="A163" s="20"/>
      <c r="B163" s="21"/>
      <c r="C163" s="22"/>
      <c r="D163" s="22"/>
    </row>
    <row r="164" spans="1:4" x14ac:dyDescent="0.3">
      <c r="A164" s="20"/>
      <c r="B164" s="21"/>
      <c r="C164" s="22"/>
      <c r="D164" s="22"/>
    </row>
    <row r="165" spans="1:4" x14ac:dyDescent="0.3">
      <c r="A165" s="20"/>
      <c r="B165" s="21"/>
      <c r="C165" s="22"/>
      <c r="D165" s="22"/>
    </row>
    <row r="166" spans="1:4" x14ac:dyDescent="0.3">
      <c r="A166" s="20"/>
      <c r="B166" s="21"/>
      <c r="C166" s="22"/>
      <c r="D166" s="22"/>
    </row>
    <row r="167" spans="1:4" x14ac:dyDescent="0.3">
      <c r="A167" s="20"/>
      <c r="B167" s="21"/>
      <c r="C167" s="22"/>
      <c r="D167" s="22"/>
    </row>
    <row r="168" spans="1:4" x14ac:dyDescent="0.3">
      <c r="A168" s="20"/>
      <c r="B168" s="21"/>
      <c r="C168" s="22"/>
      <c r="D168" s="22"/>
    </row>
    <row r="169" spans="1:4" x14ac:dyDescent="0.3">
      <c r="A169" s="20"/>
      <c r="B169" s="21"/>
      <c r="C169" s="22"/>
      <c r="D169" s="22"/>
    </row>
    <row r="170" spans="1:4" x14ac:dyDescent="0.3">
      <c r="A170" s="20"/>
      <c r="B170" s="21"/>
      <c r="C170" s="22"/>
      <c r="D170" s="22"/>
    </row>
    <row r="171" spans="1:4" x14ac:dyDescent="0.3">
      <c r="A171" s="20"/>
      <c r="B171" s="21"/>
      <c r="C171" s="22"/>
      <c r="D171" s="22"/>
    </row>
    <row r="172" spans="1:4" x14ac:dyDescent="0.3">
      <c r="A172" s="20"/>
      <c r="B172" s="21"/>
      <c r="C172" s="22"/>
      <c r="D172" s="22"/>
    </row>
    <row r="173" spans="1:4" x14ac:dyDescent="0.3">
      <c r="A173" s="20"/>
      <c r="B173" s="21"/>
      <c r="C173" s="22"/>
      <c r="D173" s="22"/>
    </row>
    <row r="174" spans="1:4" x14ac:dyDescent="0.3">
      <c r="A174" s="20"/>
      <c r="B174" s="21"/>
      <c r="C174" s="22"/>
      <c r="D174" s="22"/>
    </row>
    <row r="175" spans="1:4" x14ac:dyDescent="0.3">
      <c r="A175" s="20"/>
      <c r="B175" s="21"/>
      <c r="C175" s="22"/>
      <c r="D175" s="22"/>
    </row>
    <row r="176" spans="1:4" x14ac:dyDescent="0.3">
      <c r="A176" s="20"/>
      <c r="B176" s="21"/>
      <c r="C176" s="22"/>
      <c r="D176" s="22"/>
    </row>
    <row r="177" spans="1:4" x14ac:dyDescent="0.3">
      <c r="A177" s="20"/>
      <c r="B177" s="21"/>
      <c r="C177" s="22"/>
      <c r="D177" s="22"/>
    </row>
    <row r="178" spans="1:4" x14ac:dyDescent="0.3">
      <c r="A178" s="20"/>
      <c r="B178" s="21"/>
      <c r="C178" s="22"/>
      <c r="D178" s="22"/>
    </row>
    <row r="179" spans="1:4" x14ac:dyDescent="0.3">
      <c r="A179" s="20"/>
      <c r="B179" s="21"/>
      <c r="C179" s="22"/>
      <c r="D179" s="22"/>
    </row>
    <row r="180" spans="1:4" x14ac:dyDescent="0.3">
      <c r="A180" s="20"/>
      <c r="B180" s="21"/>
      <c r="C180" s="22"/>
      <c r="D180" s="22"/>
    </row>
    <row r="181" spans="1:4" x14ac:dyDescent="0.3">
      <c r="A181" s="20"/>
      <c r="B181" s="21"/>
      <c r="C181" s="22"/>
      <c r="D181" s="22"/>
    </row>
    <row r="182" spans="1:4" x14ac:dyDescent="0.3">
      <c r="A182" s="20"/>
      <c r="B182" s="21"/>
      <c r="C182" s="22"/>
      <c r="D182" s="22"/>
    </row>
    <row r="183" spans="1:4" x14ac:dyDescent="0.3">
      <c r="A183" s="20"/>
      <c r="B183" s="21"/>
      <c r="C183" s="22"/>
      <c r="D183" s="22"/>
    </row>
    <row r="184" spans="1:4" x14ac:dyDescent="0.3">
      <c r="A184" s="20"/>
      <c r="B184" s="21"/>
      <c r="C184" s="22"/>
      <c r="D184" s="22"/>
    </row>
    <row r="185" spans="1:4" x14ac:dyDescent="0.3">
      <c r="A185" s="20"/>
      <c r="B185" s="21"/>
      <c r="C185" s="22"/>
      <c r="D185" s="22"/>
    </row>
    <row r="186" spans="1:4" x14ac:dyDescent="0.3">
      <c r="A186" s="20"/>
      <c r="B186" s="21"/>
      <c r="C186" s="22"/>
      <c r="D186" s="22"/>
    </row>
    <row r="187" spans="1:4" x14ac:dyDescent="0.3">
      <c r="A187" s="20"/>
      <c r="B187" s="21"/>
      <c r="C187" s="22"/>
      <c r="D187" s="22"/>
    </row>
    <row r="188" spans="1:4" x14ac:dyDescent="0.3">
      <c r="A188" s="20"/>
      <c r="B188" s="21"/>
      <c r="C188" s="22"/>
      <c r="D188" s="22"/>
    </row>
    <row r="189" spans="1:4" x14ac:dyDescent="0.3">
      <c r="A189" s="20"/>
      <c r="B189" s="21"/>
      <c r="C189" s="22"/>
      <c r="D189" s="22"/>
    </row>
    <row r="190" spans="1:4" x14ac:dyDescent="0.3">
      <c r="A190" s="20"/>
      <c r="B190" s="21"/>
      <c r="C190" s="22"/>
      <c r="D190" s="22"/>
    </row>
    <row r="191" spans="1:4" x14ac:dyDescent="0.3">
      <c r="A191" s="20"/>
      <c r="B191" s="21"/>
      <c r="C191" s="22"/>
      <c r="D191" s="22"/>
    </row>
    <row r="192" spans="1:4" x14ac:dyDescent="0.3">
      <c r="A192" s="20"/>
      <c r="B192" s="21"/>
      <c r="C192" s="22"/>
      <c r="D192" s="22"/>
    </row>
    <row r="193" spans="1:4" x14ac:dyDescent="0.3">
      <c r="A193" s="20"/>
      <c r="B193" s="21"/>
      <c r="C193" s="22"/>
      <c r="D193" s="22"/>
    </row>
    <row r="194" spans="1:4" x14ac:dyDescent="0.3">
      <c r="A194" s="20"/>
      <c r="B194" s="21"/>
      <c r="C194" s="22"/>
      <c r="D194" s="22"/>
    </row>
    <row r="195" spans="1:4" x14ac:dyDescent="0.3">
      <c r="A195" s="20"/>
      <c r="B195" s="21"/>
      <c r="C195" s="22"/>
      <c r="D195" s="22"/>
    </row>
    <row r="196" spans="1:4" x14ac:dyDescent="0.3">
      <c r="A196" s="20"/>
      <c r="B196" s="21"/>
      <c r="C196" s="22"/>
      <c r="D196" s="22"/>
    </row>
    <row r="197" spans="1:4" x14ac:dyDescent="0.3">
      <c r="A197" s="20"/>
      <c r="B197" s="21"/>
      <c r="C197" s="22"/>
      <c r="D197" s="22"/>
    </row>
    <row r="198" spans="1:4" x14ac:dyDescent="0.3">
      <c r="A198" s="20"/>
      <c r="B198" s="21"/>
      <c r="C198" s="22"/>
      <c r="D198" s="22"/>
    </row>
    <row r="199" spans="1:4" x14ac:dyDescent="0.3">
      <c r="A199" s="20"/>
      <c r="B199" s="21"/>
      <c r="C199" s="22"/>
      <c r="D199" s="22"/>
    </row>
    <row r="200" spans="1:4" x14ac:dyDescent="0.3">
      <c r="A200" s="20"/>
      <c r="B200" s="21"/>
      <c r="C200" s="22"/>
      <c r="D200" s="22"/>
    </row>
    <row r="201" spans="1:4" x14ac:dyDescent="0.3">
      <c r="A201" s="20"/>
      <c r="B201" s="21"/>
      <c r="C201" s="22"/>
      <c r="D201" s="22"/>
    </row>
    <row r="202" spans="1:4" x14ac:dyDescent="0.3">
      <c r="A202" s="20"/>
      <c r="B202" s="21"/>
      <c r="C202" s="22"/>
      <c r="D202" s="22"/>
    </row>
    <row r="203" spans="1:4" x14ac:dyDescent="0.3">
      <c r="A203" s="20"/>
      <c r="B203" s="21"/>
      <c r="C203" s="22"/>
      <c r="D203" s="22"/>
    </row>
    <row r="204" spans="1:4" x14ac:dyDescent="0.3">
      <c r="A204" s="20"/>
      <c r="B204" s="21"/>
      <c r="C204" s="22"/>
      <c r="D204" s="22"/>
    </row>
    <row r="205" spans="1:4" x14ac:dyDescent="0.3">
      <c r="A205" s="20"/>
      <c r="B205" s="21"/>
      <c r="C205" s="22"/>
      <c r="D205" s="22"/>
    </row>
    <row r="206" spans="1:4" x14ac:dyDescent="0.3">
      <c r="A206" s="20"/>
      <c r="B206" s="21"/>
      <c r="C206" s="22"/>
      <c r="D206" s="22"/>
    </row>
    <row r="207" spans="1:4" x14ac:dyDescent="0.3">
      <c r="A207" s="20"/>
      <c r="B207" s="21"/>
      <c r="C207" s="22"/>
      <c r="D207" s="22"/>
    </row>
    <row r="208" spans="1:4" x14ac:dyDescent="0.3">
      <c r="A208" s="20"/>
      <c r="B208" s="21"/>
      <c r="C208" s="22"/>
      <c r="D208" s="22"/>
    </row>
    <row r="209" spans="1:4" x14ac:dyDescent="0.3">
      <c r="A209" s="20"/>
      <c r="B209" s="21"/>
      <c r="C209" s="22"/>
      <c r="D209" s="22"/>
    </row>
    <row r="210" spans="1:4" x14ac:dyDescent="0.3">
      <c r="A210" s="20"/>
      <c r="B210" s="21"/>
      <c r="C210" s="22"/>
      <c r="D210" s="22"/>
    </row>
    <row r="211" spans="1:4" x14ac:dyDescent="0.3">
      <c r="A211" s="20"/>
      <c r="B211" s="21"/>
      <c r="C211" s="22"/>
      <c r="D211" s="22"/>
    </row>
    <row r="212" spans="1:4" x14ac:dyDescent="0.3">
      <c r="A212" s="20"/>
      <c r="B212" s="21"/>
      <c r="C212" s="22"/>
      <c r="D212" s="22"/>
    </row>
    <row r="213" spans="1:4" x14ac:dyDescent="0.3">
      <c r="A213" s="20"/>
      <c r="B213" s="21"/>
      <c r="C213" s="22"/>
      <c r="D213" s="22"/>
    </row>
    <row r="214" spans="1:4" x14ac:dyDescent="0.3">
      <c r="A214" s="20"/>
      <c r="B214" s="21"/>
      <c r="C214" s="22"/>
      <c r="D214" s="22"/>
    </row>
    <row r="215" spans="1:4" x14ac:dyDescent="0.3">
      <c r="A215" s="20"/>
      <c r="B215" s="21"/>
      <c r="C215" s="22"/>
      <c r="D215" s="22"/>
    </row>
    <row r="216" spans="1:4" x14ac:dyDescent="0.3">
      <c r="A216" s="20"/>
      <c r="B216" s="21"/>
      <c r="C216" s="22"/>
      <c r="D216" s="22"/>
    </row>
    <row r="217" spans="1:4" x14ac:dyDescent="0.3">
      <c r="A217" s="20"/>
      <c r="B217" s="21"/>
      <c r="C217" s="22"/>
      <c r="D217" s="22"/>
    </row>
    <row r="218" spans="1:4" x14ac:dyDescent="0.3">
      <c r="A218" s="20"/>
      <c r="B218" s="21"/>
      <c r="C218" s="22"/>
      <c r="D218" s="22"/>
    </row>
    <row r="219" spans="1:4" x14ac:dyDescent="0.3">
      <c r="A219" s="20"/>
      <c r="B219" s="21"/>
      <c r="C219" s="22"/>
      <c r="D219" s="22"/>
    </row>
    <row r="220" spans="1:4" x14ac:dyDescent="0.3">
      <c r="A220" s="20"/>
      <c r="B220" s="21"/>
      <c r="C220" s="22"/>
      <c r="D220" s="22"/>
    </row>
    <row r="221" spans="1:4" x14ac:dyDescent="0.3">
      <c r="A221" s="20"/>
      <c r="B221" s="21"/>
      <c r="C221" s="22"/>
      <c r="D221" s="22"/>
    </row>
    <row r="222" spans="1:4" x14ac:dyDescent="0.3">
      <c r="A222" s="20"/>
      <c r="B222" s="21"/>
      <c r="C222" s="22"/>
      <c r="D222" s="22"/>
    </row>
    <row r="223" spans="1:4" x14ac:dyDescent="0.3">
      <c r="A223" s="20"/>
      <c r="B223" s="21"/>
      <c r="C223" s="22"/>
      <c r="D223" s="22"/>
    </row>
    <row r="224" spans="1:4" x14ac:dyDescent="0.3">
      <c r="A224" s="20"/>
      <c r="B224" s="21"/>
      <c r="C224" s="22"/>
      <c r="D224" s="22"/>
    </row>
    <row r="225" spans="1:4" x14ac:dyDescent="0.3">
      <c r="A225" s="20"/>
      <c r="B225" s="21"/>
      <c r="C225" s="22"/>
      <c r="D225" s="22"/>
    </row>
    <row r="226" spans="1:4" x14ac:dyDescent="0.3">
      <c r="A226" s="20"/>
      <c r="B226" s="21"/>
      <c r="C226" s="22"/>
      <c r="D226" s="22"/>
    </row>
    <row r="227" spans="1:4" x14ac:dyDescent="0.3">
      <c r="A227" s="20"/>
      <c r="B227" s="21"/>
      <c r="C227" s="22"/>
      <c r="D227" s="22"/>
    </row>
    <row r="228" spans="1:4" x14ac:dyDescent="0.3">
      <c r="A228" s="20"/>
      <c r="B228" s="21"/>
      <c r="C228" s="22"/>
      <c r="D228" s="22"/>
    </row>
    <row r="229" spans="1:4" x14ac:dyDescent="0.3">
      <c r="A229" s="20"/>
      <c r="B229" s="21"/>
      <c r="C229" s="22"/>
      <c r="D229" s="22"/>
    </row>
    <row r="230" spans="1:4" x14ac:dyDescent="0.3">
      <c r="A230" s="20"/>
      <c r="B230" s="21"/>
      <c r="C230" s="22"/>
      <c r="D230" s="22"/>
    </row>
    <row r="231" spans="1:4" x14ac:dyDescent="0.3">
      <c r="A231" s="20"/>
      <c r="B231" s="21"/>
      <c r="C231" s="22"/>
      <c r="D231" s="22"/>
    </row>
    <row r="232" spans="1:4" x14ac:dyDescent="0.3">
      <c r="A232" s="20"/>
      <c r="B232" s="21"/>
      <c r="C232" s="22"/>
      <c r="D232" s="22"/>
    </row>
    <row r="233" spans="1:4" x14ac:dyDescent="0.3">
      <c r="A233" s="20"/>
      <c r="B233" s="21"/>
      <c r="C233" s="22"/>
      <c r="D233" s="22"/>
    </row>
    <row r="234" spans="1:4" x14ac:dyDescent="0.3">
      <c r="A234" s="20"/>
      <c r="B234" s="21"/>
      <c r="C234" s="22"/>
      <c r="D234" s="22"/>
    </row>
    <row r="235" spans="1:4" x14ac:dyDescent="0.3">
      <c r="A235" s="20"/>
      <c r="B235" s="21"/>
      <c r="C235" s="22"/>
      <c r="D235" s="22"/>
    </row>
    <row r="236" spans="1:4" x14ac:dyDescent="0.3">
      <c r="A236" s="20"/>
      <c r="B236" s="21"/>
      <c r="C236" s="22"/>
      <c r="D236" s="22"/>
    </row>
    <row r="237" spans="1:4" x14ac:dyDescent="0.3">
      <c r="A237" s="20"/>
      <c r="B237" s="21"/>
      <c r="C237" s="22"/>
      <c r="D237" s="22"/>
    </row>
    <row r="238" spans="1:4" x14ac:dyDescent="0.3">
      <c r="A238" s="20"/>
      <c r="B238" s="21"/>
      <c r="C238" s="22"/>
      <c r="D238" s="22"/>
    </row>
    <row r="239" spans="1:4" x14ac:dyDescent="0.3">
      <c r="A239" s="20"/>
      <c r="B239" s="21"/>
      <c r="C239" s="22"/>
      <c r="D239" s="22"/>
    </row>
    <row r="240" spans="1:4" x14ac:dyDescent="0.3">
      <c r="A240" s="20"/>
      <c r="B240" s="21"/>
      <c r="C240" s="22"/>
      <c r="D240" s="22"/>
    </row>
    <row r="241" spans="1:4" x14ac:dyDescent="0.3">
      <c r="A241" s="20"/>
      <c r="B241" s="21"/>
      <c r="C241" s="22"/>
      <c r="D241" s="22"/>
    </row>
    <row r="242" spans="1:4" x14ac:dyDescent="0.3">
      <c r="A242" s="20"/>
      <c r="B242" s="21"/>
      <c r="C242" s="22"/>
      <c r="D242" s="22"/>
    </row>
    <row r="243" spans="1:4" x14ac:dyDescent="0.3">
      <c r="A243" s="20"/>
      <c r="B243" s="21"/>
      <c r="C243" s="22"/>
      <c r="D243" s="22"/>
    </row>
    <row r="244" spans="1:4" x14ac:dyDescent="0.3">
      <c r="A244" s="20"/>
      <c r="B244" s="21"/>
      <c r="C244" s="22"/>
      <c r="D244" s="22"/>
    </row>
    <row r="245" spans="1:4" x14ac:dyDescent="0.3">
      <c r="A245" s="20"/>
      <c r="B245" s="21"/>
      <c r="C245" s="22"/>
      <c r="D245" s="22"/>
    </row>
    <row r="246" spans="1:4" x14ac:dyDescent="0.3">
      <c r="A246" s="20"/>
      <c r="B246" s="21"/>
      <c r="C246" s="22"/>
      <c r="D246" s="22"/>
    </row>
    <row r="247" spans="1:4" x14ac:dyDescent="0.3">
      <c r="A247" s="20"/>
      <c r="B247" s="21"/>
      <c r="C247" s="22"/>
      <c r="D247" s="22"/>
    </row>
    <row r="248" spans="1:4" x14ac:dyDescent="0.3">
      <c r="A248" s="20"/>
      <c r="B248" s="21"/>
      <c r="C248" s="22"/>
      <c r="D248" s="22"/>
    </row>
    <row r="249" spans="1:4" x14ac:dyDescent="0.3">
      <c r="A249" s="20"/>
      <c r="B249" s="21"/>
      <c r="C249" s="22"/>
      <c r="D249" s="22"/>
    </row>
    <row r="250" spans="1:4" x14ac:dyDescent="0.3">
      <c r="A250" s="20"/>
      <c r="B250" s="21"/>
      <c r="C250" s="22"/>
      <c r="D250" s="22"/>
    </row>
    <row r="251" spans="1:4" x14ac:dyDescent="0.3">
      <c r="A251" s="20"/>
      <c r="B251" s="21"/>
      <c r="C251" s="22"/>
      <c r="D251" s="22"/>
    </row>
    <row r="252" spans="1:4" x14ac:dyDescent="0.3">
      <c r="A252" s="20"/>
      <c r="B252" s="21"/>
      <c r="C252" s="22"/>
      <c r="D252" s="22"/>
    </row>
    <row r="253" spans="1:4" x14ac:dyDescent="0.3">
      <c r="A253" s="20"/>
      <c r="B253" s="21"/>
      <c r="C253" s="22"/>
      <c r="D253" s="22"/>
    </row>
    <row r="254" spans="1:4" x14ac:dyDescent="0.3">
      <c r="A254" s="20"/>
      <c r="B254" s="21"/>
      <c r="C254" s="22"/>
      <c r="D254" s="22"/>
    </row>
    <row r="255" spans="1:4" x14ac:dyDescent="0.3">
      <c r="A255" s="20"/>
      <c r="B255" s="21"/>
      <c r="C255" s="22"/>
      <c r="D255" s="22"/>
    </row>
    <row r="256" spans="1:4" x14ac:dyDescent="0.3">
      <c r="A256" s="20"/>
      <c r="B256" s="21"/>
      <c r="C256" s="22"/>
      <c r="D256" s="22"/>
    </row>
    <row r="257" spans="1:4" x14ac:dyDescent="0.3">
      <c r="A257" s="20"/>
      <c r="B257" s="21"/>
      <c r="C257" s="22"/>
      <c r="D257" s="22"/>
    </row>
    <row r="258" spans="1:4" x14ac:dyDescent="0.3">
      <c r="A258" s="20"/>
      <c r="B258" s="21"/>
      <c r="C258" s="22"/>
      <c r="D258" s="22"/>
    </row>
    <row r="259" spans="1:4" x14ac:dyDescent="0.3">
      <c r="A259" s="20"/>
      <c r="B259" s="21"/>
      <c r="C259" s="22"/>
      <c r="D259" s="22"/>
    </row>
    <row r="260" spans="1:4" x14ac:dyDescent="0.3">
      <c r="A260" s="20"/>
      <c r="B260" s="21"/>
      <c r="C260" s="22"/>
      <c r="D260" s="22"/>
    </row>
    <row r="261" spans="1:4" x14ac:dyDescent="0.3">
      <c r="A261" s="20"/>
      <c r="B261" s="21"/>
      <c r="C261" s="22"/>
      <c r="D261" s="22"/>
    </row>
    <row r="262" spans="1:4" x14ac:dyDescent="0.3">
      <c r="A262" s="20"/>
      <c r="B262" s="21"/>
      <c r="C262" s="22"/>
      <c r="D262" s="22"/>
    </row>
    <row r="263" spans="1:4" x14ac:dyDescent="0.3">
      <c r="A263" s="20"/>
      <c r="B263" s="21"/>
      <c r="C263" s="22"/>
      <c r="D263" s="22"/>
    </row>
    <row r="264" spans="1:4" x14ac:dyDescent="0.3">
      <c r="A264" s="20"/>
      <c r="B264" s="21"/>
      <c r="C264" s="22"/>
      <c r="D264" s="22"/>
    </row>
    <row r="265" spans="1:4" x14ac:dyDescent="0.3">
      <c r="A265" s="20"/>
      <c r="B265" s="21"/>
      <c r="C265" s="22"/>
      <c r="D265" s="22"/>
    </row>
    <row r="266" spans="1:4" x14ac:dyDescent="0.3">
      <c r="A266" s="20"/>
      <c r="B266" s="21"/>
      <c r="C266" s="22"/>
      <c r="D266" s="22"/>
    </row>
    <row r="267" spans="1:4" x14ac:dyDescent="0.3">
      <c r="A267" s="20"/>
      <c r="B267" s="21"/>
      <c r="C267" s="22"/>
      <c r="D267" s="22"/>
    </row>
    <row r="268" spans="1:4" x14ac:dyDescent="0.3">
      <c r="A268" s="20"/>
      <c r="B268" s="21"/>
      <c r="C268" s="22"/>
      <c r="D268" s="22"/>
    </row>
    <row r="269" spans="1:4" x14ac:dyDescent="0.3">
      <c r="A269" s="20"/>
      <c r="B269" s="21"/>
      <c r="C269" s="22"/>
      <c r="D269" s="22"/>
    </row>
    <row r="270" spans="1:4" x14ac:dyDescent="0.3">
      <c r="A270" s="20"/>
      <c r="B270" s="21"/>
      <c r="C270" s="22"/>
      <c r="D270" s="22"/>
    </row>
    <row r="271" spans="1:4" x14ac:dyDescent="0.3">
      <c r="A271" s="20"/>
      <c r="B271" s="21"/>
      <c r="C271" s="22"/>
      <c r="D271" s="22"/>
    </row>
    <row r="272" spans="1:4" x14ac:dyDescent="0.3">
      <c r="A272" s="20"/>
      <c r="B272" s="21"/>
      <c r="C272" s="22"/>
      <c r="D272" s="22"/>
    </row>
    <row r="273" spans="1:4" x14ac:dyDescent="0.3">
      <c r="A273" s="20"/>
      <c r="B273" s="21"/>
      <c r="C273" s="22"/>
      <c r="D273" s="22"/>
    </row>
    <row r="274" spans="1:4" x14ac:dyDescent="0.3">
      <c r="A274" s="20"/>
      <c r="B274" s="21"/>
      <c r="C274" s="22"/>
      <c r="D274" s="22"/>
    </row>
    <row r="275" spans="1:4" x14ac:dyDescent="0.3">
      <c r="A275" s="20"/>
      <c r="B275" s="21"/>
      <c r="C275" s="22"/>
      <c r="D275" s="22"/>
    </row>
    <row r="276" spans="1:4" x14ac:dyDescent="0.3">
      <c r="A276" s="20"/>
      <c r="B276" s="21"/>
      <c r="C276" s="22"/>
      <c r="D276" s="22"/>
    </row>
    <row r="277" spans="1:4" x14ac:dyDescent="0.3">
      <c r="A277" s="20"/>
      <c r="B277" s="21"/>
      <c r="C277" s="22"/>
      <c r="D277" s="22"/>
    </row>
    <row r="278" spans="1:4" x14ac:dyDescent="0.3">
      <c r="A278" s="20"/>
      <c r="B278" s="21"/>
      <c r="C278" s="22"/>
      <c r="D278" s="22"/>
    </row>
    <row r="279" spans="1:4" x14ac:dyDescent="0.3">
      <c r="A279" s="20"/>
      <c r="B279" s="21"/>
      <c r="C279" s="22"/>
      <c r="D279" s="22"/>
    </row>
    <row r="280" spans="1:4" x14ac:dyDescent="0.3">
      <c r="A280" s="20"/>
      <c r="B280" s="21"/>
      <c r="C280" s="22"/>
      <c r="D280" s="22"/>
    </row>
    <row r="281" spans="1:4" x14ac:dyDescent="0.3">
      <c r="A281" s="20"/>
      <c r="B281" s="21"/>
      <c r="C281" s="22"/>
      <c r="D281" s="22"/>
    </row>
    <row r="282" spans="1:4" x14ac:dyDescent="0.3">
      <c r="A282" s="20"/>
      <c r="B282" s="21"/>
      <c r="C282" s="22"/>
      <c r="D282" s="22"/>
    </row>
    <row r="283" spans="1:4" x14ac:dyDescent="0.3">
      <c r="A283" s="20"/>
      <c r="B283" s="21"/>
      <c r="C283" s="22"/>
      <c r="D283" s="22"/>
    </row>
    <row r="284" spans="1:4" x14ac:dyDescent="0.3">
      <c r="A284" s="20"/>
      <c r="B284" s="21"/>
      <c r="C284" s="22"/>
      <c r="D284" s="22"/>
    </row>
    <row r="285" spans="1:4" x14ac:dyDescent="0.3">
      <c r="A285" s="20"/>
      <c r="B285" s="21"/>
      <c r="C285" s="22"/>
      <c r="D285" s="22"/>
    </row>
    <row r="286" spans="1:4" x14ac:dyDescent="0.3">
      <c r="A286" s="20"/>
      <c r="B286" s="21"/>
      <c r="C286" s="22"/>
      <c r="D286" s="22"/>
    </row>
    <row r="287" spans="1:4" x14ac:dyDescent="0.3">
      <c r="A287" s="20"/>
      <c r="B287" s="21"/>
      <c r="C287" s="22"/>
      <c r="D287" s="22"/>
    </row>
    <row r="288" spans="1:4" x14ac:dyDescent="0.3">
      <c r="A288" s="20"/>
      <c r="B288" s="21"/>
      <c r="C288" s="22"/>
      <c r="D288" s="22"/>
    </row>
    <row r="289" spans="1:4" x14ac:dyDescent="0.3">
      <c r="A289" s="20"/>
      <c r="B289" s="21"/>
      <c r="C289" s="22"/>
      <c r="D289" s="22"/>
    </row>
    <row r="290" spans="1:4" x14ac:dyDescent="0.3">
      <c r="A290" s="20"/>
      <c r="B290" s="21"/>
      <c r="C290" s="22"/>
      <c r="D290" s="22"/>
    </row>
    <row r="291" spans="1:4" x14ac:dyDescent="0.3">
      <c r="A291" s="20"/>
      <c r="B291" s="21"/>
      <c r="C291" s="22"/>
      <c r="D291" s="22"/>
    </row>
    <row r="292" spans="1:4" x14ac:dyDescent="0.3">
      <c r="A292" s="20"/>
      <c r="B292" s="21"/>
      <c r="C292" s="22"/>
      <c r="D292" s="22"/>
    </row>
    <row r="293" spans="1:4" x14ac:dyDescent="0.3">
      <c r="A293" s="20"/>
      <c r="B293" s="21"/>
      <c r="C293" s="22"/>
      <c r="D293" s="22"/>
    </row>
    <row r="294" spans="1:4" x14ac:dyDescent="0.3">
      <c r="A294" s="20"/>
      <c r="B294" s="21"/>
      <c r="C294" s="22"/>
      <c r="D294" s="22"/>
    </row>
    <row r="295" spans="1:4" x14ac:dyDescent="0.3">
      <c r="A295" s="20"/>
      <c r="B295" s="21"/>
      <c r="C295" s="22"/>
      <c r="D295" s="22"/>
    </row>
    <row r="296" spans="1:4" x14ac:dyDescent="0.3">
      <c r="A296" s="20"/>
      <c r="B296" s="21"/>
      <c r="C296" s="22"/>
      <c r="D296" s="22"/>
    </row>
    <row r="297" spans="1:4" x14ac:dyDescent="0.3">
      <c r="A297" s="20"/>
      <c r="B297" s="21"/>
      <c r="C297" s="22"/>
      <c r="D297" s="22"/>
    </row>
    <row r="298" spans="1:4" x14ac:dyDescent="0.3">
      <c r="A298" s="20"/>
      <c r="B298" s="21"/>
      <c r="C298" s="22"/>
      <c r="D298" s="22"/>
    </row>
    <row r="299" spans="1:4" x14ac:dyDescent="0.3">
      <c r="A299" s="20"/>
      <c r="B299" s="21"/>
      <c r="C299" s="22"/>
      <c r="D299" s="22"/>
    </row>
    <row r="300" spans="1:4" x14ac:dyDescent="0.3">
      <c r="A300" s="20"/>
      <c r="B300" s="21"/>
      <c r="C300" s="22"/>
      <c r="D300" s="22"/>
    </row>
    <row r="301" spans="1:4" x14ac:dyDescent="0.3">
      <c r="A301" s="20"/>
      <c r="B301" s="21"/>
      <c r="C301" s="22"/>
      <c r="D301" s="22"/>
    </row>
    <row r="302" spans="1:4" x14ac:dyDescent="0.3">
      <c r="A302" s="20"/>
      <c r="B302" s="21"/>
      <c r="C302" s="22"/>
      <c r="D302" s="22"/>
    </row>
    <row r="303" spans="1:4" x14ac:dyDescent="0.3">
      <c r="A303" s="20"/>
      <c r="B303" s="21"/>
      <c r="C303" s="22"/>
      <c r="D303" s="22"/>
    </row>
    <row r="304" spans="1:4" x14ac:dyDescent="0.3">
      <c r="A304" s="20"/>
      <c r="B304" s="21"/>
      <c r="C304" s="22"/>
      <c r="D304" s="22"/>
    </row>
    <row r="305" spans="1:4" x14ac:dyDescent="0.3">
      <c r="A305" s="20"/>
      <c r="B305" s="21"/>
      <c r="C305" s="22"/>
      <c r="D305" s="22"/>
    </row>
    <row r="306" spans="1:4" x14ac:dyDescent="0.3">
      <c r="A306" s="20"/>
      <c r="B306" s="21"/>
      <c r="C306" s="22"/>
      <c r="D306" s="22"/>
    </row>
    <row r="307" spans="1:4" x14ac:dyDescent="0.3">
      <c r="A307" s="20"/>
      <c r="B307" s="21"/>
      <c r="C307" s="22"/>
      <c r="D307" s="22"/>
    </row>
    <row r="308" spans="1:4" x14ac:dyDescent="0.3">
      <c r="A308" s="20"/>
      <c r="B308" s="21"/>
      <c r="C308" s="22"/>
      <c r="D308" s="22"/>
    </row>
    <row r="309" spans="1:4" x14ac:dyDescent="0.3">
      <c r="A309" s="20"/>
      <c r="B309" s="21"/>
      <c r="C309" s="22"/>
      <c r="D309" s="22"/>
    </row>
    <row r="310" spans="1:4" x14ac:dyDescent="0.3">
      <c r="A310" s="20"/>
      <c r="B310" s="21"/>
      <c r="C310" s="22"/>
      <c r="D310" s="22"/>
    </row>
    <row r="311" spans="1:4" x14ac:dyDescent="0.3">
      <c r="A311" s="20"/>
      <c r="B311" s="21"/>
      <c r="C311" s="22"/>
      <c r="D311" s="22"/>
    </row>
    <row r="312" spans="1:4" x14ac:dyDescent="0.3">
      <c r="A312" s="20"/>
      <c r="B312" s="21"/>
      <c r="C312" s="22"/>
      <c r="D312" s="22"/>
    </row>
    <row r="313" spans="1:4" x14ac:dyDescent="0.3">
      <c r="A313" s="20"/>
      <c r="B313" s="21"/>
      <c r="C313" s="22"/>
      <c r="D313" s="22"/>
    </row>
    <row r="314" spans="1:4" x14ac:dyDescent="0.3">
      <c r="A314" s="20"/>
      <c r="B314" s="21"/>
      <c r="C314" s="22"/>
      <c r="D314" s="22"/>
    </row>
    <row r="315" spans="1:4" x14ac:dyDescent="0.3">
      <c r="A315" s="20"/>
      <c r="B315" s="21"/>
      <c r="C315" s="22"/>
      <c r="D315" s="22"/>
    </row>
    <row r="316" spans="1:4" x14ac:dyDescent="0.3">
      <c r="A316" s="20"/>
      <c r="B316" s="21"/>
      <c r="C316" s="22"/>
      <c r="D316" s="22"/>
    </row>
    <row r="317" spans="1:4" x14ac:dyDescent="0.3">
      <c r="A317" s="20"/>
      <c r="B317" s="21"/>
      <c r="C317" s="22"/>
      <c r="D317" s="22"/>
    </row>
    <row r="318" spans="1:4" x14ac:dyDescent="0.3">
      <c r="A318" s="20"/>
      <c r="B318" s="21"/>
      <c r="C318" s="22"/>
      <c r="D318" s="22"/>
    </row>
    <row r="319" spans="1:4" x14ac:dyDescent="0.3">
      <c r="A319" s="20"/>
      <c r="B319" s="21"/>
      <c r="C319" s="22"/>
      <c r="D319" s="22"/>
    </row>
    <row r="320" spans="1:4" x14ac:dyDescent="0.3">
      <c r="A320" s="20"/>
      <c r="B320" s="21"/>
      <c r="C320" s="22"/>
      <c r="D320" s="22"/>
    </row>
    <row r="321" spans="1:4" x14ac:dyDescent="0.3">
      <c r="A321" s="20"/>
      <c r="B321" s="21"/>
      <c r="C321" s="22"/>
      <c r="D321" s="22"/>
    </row>
    <row r="322" spans="1:4" x14ac:dyDescent="0.3">
      <c r="A322" s="20"/>
      <c r="B322" s="21"/>
      <c r="C322" s="22"/>
      <c r="D322" s="22"/>
    </row>
    <row r="323" spans="1:4" x14ac:dyDescent="0.3">
      <c r="A323" s="20"/>
      <c r="B323" s="21"/>
      <c r="C323" s="22"/>
      <c r="D323" s="22"/>
    </row>
    <row r="324" spans="1:4" x14ac:dyDescent="0.3">
      <c r="A324" s="20"/>
      <c r="B324" s="21"/>
      <c r="C324" s="22"/>
      <c r="D324" s="22"/>
    </row>
    <row r="325" spans="1:4" x14ac:dyDescent="0.3">
      <c r="A325" s="20"/>
      <c r="B325" s="21"/>
      <c r="C325" s="22"/>
      <c r="D325" s="22"/>
    </row>
    <row r="326" spans="1:4" x14ac:dyDescent="0.3">
      <c r="A326" s="20"/>
      <c r="B326" s="21"/>
      <c r="C326" s="22"/>
      <c r="D326" s="22"/>
    </row>
    <row r="327" spans="1:4" x14ac:dyDescent="0.3">
      <c r="A327" s="20"/>
      <c r="B327" s="21"/>
      <c r="C327" s="22"/>
      <c r="D327" s="22"/>
    </row>
    <row r="328" spans="1:4" x14ac:dyDescent="0.3">
      <c r="A328" s="20"/>
      <c r="B328" s="21"/>
      <c r="C328" s="22"/>
      <c r="D328" s="22"/>
    </row>
    <row r="329" spans="1:4" x14ac:dyDescent="0.3">
      <c r="A329" s="20"/>
      <c r="B329" s="21"/>
      <c r="C329" s="22"/>
      <c r="D329" s="22"/>
    </row>
    <row r="330" spans="1:4" x14ac:dyDescent="0.3">
      <c r="A330" s="20"/>
      <c r="B330" s="21"/>
      <c r="C330" s="22"/>
      <c r="D330" s="22"/>
    </row>
    <row r="331" spans="1:4" x14ac:dyDescent="0.3">
      <c r="A331" s="20"/>
      <c r="B331" s="21"/>
      <c r="C331" s="22"/>
      <c r="D331" s="22"/>
    </row>
    <row r="332" spans="1:4" x14ac:dyDescent="0.3">
      <c r="A332" s="20"/>
      <c r="B332" s="21"/>
      <c r="C332" s="22"/>
      <c r="D332" s="22"/>
    </row>
    <row r="333" spans="1:4" x14ac:dyDescent="0.3">
      <c r="A333" s="20"/>
      <c r="B333" s="21"/>
      <c r="C333" s="22"/>
      <c r="D333" s="22"/>
    </row>
    <row r="334" spans="1:4" x14ac:dyDescent="0.3">
      <c r="A334" s="20"/>
      <c r="B334" s="21"/>
      <c r="C334" s="22"/>
      <c r="D334" s="22"/>
    </row>
    <row r="335" spans="1:4" x14ac:dyDescent="0.3">
      <c r="A335" s="20"/>
      <c r="B335" s="21"/>
      <c r="C335" s="22"/>
      <c r="D335" s="22"/>
    </row>
    <row r="336" spans="1:4" x14ac:dyDescent="0.3">
      <c r="A336" s="20"/>
      <c r="B336" s="21"/>
      <c r="C336" s="22"/>
      <c r="D336" s="22"/>
    </row>
    <row r="337" spans="1:4" x14ac:dyDescent="0.3">
      <c r="A337" s="20"/>
      <c r="B337" s="21"/>
      <c r="C337" s="22"/>
      <c r="D337" s="22"/>
    </row>
    <row r="338" spans="1:4" x14ac:dyDescent="0.3">
      <c r="A338" s="20"/>
      <c r="B338" s="21"/>
      <c r="C338" s="22"/>
      <c r="D338" s="22"/>
    </row>
    <row r="339" spans="1:4" x14ac:dyDescent="0.3">
      <c r="A339" s="20"/>
      <c r="B339" s="21"/>
      <c r="C339" s="22"/>
      <c r="D339" s="22"/>
    </row>
    <row r="340" spans="1:4" x14ac:dyDescent="0.3">
      <c r="A340" s="20"/>
      <c r="B340" s="21"/>
      <c r="C340" s="22"/>
      <c r="D340" s="22"/>
    </row>
    <row r="341" spans="1:4" x14ac:dyDescent="0.3">
      <c r="A341" s="20"/>
      <c r="B341" s="21"/>
      <c r="C341" s="22"/>
      <c r="D341" s="22"/>
    </row>
    <row r="342" spans="1:4" x14ac:dyDescent="0.3">
      <c r="A342" s="20"/>
      <c r="B342" s="21"/>
      <c r="C342" s="22"/>
      <c r="D342" s="22"/>
    </row>
    <row r="343" spans="1:4" x14ac:dyDescent="0.3">
      <c r="A343" s="20"/>
      <c r="B343" s="21"/>
      <c r="C343" s="22"/>
      <c r="D343" s="22"/>
    </row>
    <row r="344" spans="1:4" x14ac:dyDescent="0.3">
      <c r="A344" s="20"/>
      <c r="B344" s="21"/>
      <c r="C344" s="22"/>
      <c r="D344" s="22"/>
    </row>
    <row r="345" spans="1:4" x14ac:dyDescent="0.3">
      <c r="A345" s="20"/>
      <c r="B345" s="21"/>
      <c r="C345" s="22"/>
      <c r="D345" s="22"/>
    </row>
    <row r="346" spans="1:4" x14ac:dyDescent="0.3">
      <c r="A346" s="20"/>
      <c r="B346" s="21"/>
      <c r="C346" s="22"/>
      <c r="D346" s="22"/>
    </row>
    <row r="347" spans="1:4" x14ac:dyDescent="0.3">
      <c r="A347" s="20"/>
      <c r="B347" s="21"/>
      <c r="C347" s="22"/>
      <c r="D347" s="22"/>
    </row>
    <row r="348" spans="1:4" x14ac:dyDescent="0.3">
      <c r="A348" s="20"/>
      <c r="B348" s="21"/>
      <c r="C348" s="22"/>
      <c r="D348" s="22"/>
    </row>
    <row r="349" spans="1:4" x14ac:dyDescent="0.3">
      <c r="A349" s="20"/>
      <c r="B349" s="21"/>
      <c r="C349" s="22"/>
      <c r="D349" s="22"/>
    </row>
    <row r="350" spans="1:4" x14ac:dyDescent="0.3">
      <c r="A350" s="20"/>
      <c r="B350" s="21"/>
      <c r="C350" s="22"/>
      <c r="D350" s="22"/>
    </row>
    <row r="351" spans="1:4" x14ac:dyDescent="0.3">
      <c r="A351" s="20"/>
      <c r="B351" s="21"/>
      <c r="C351" s="22"/>
      <c r="D351" s="22"/>
    </row>
    <row r="352" spans="1:4" x14ac:dyDescent="0.3">
      <c r="A352" s="20"/>
      <c r="B352" s="21"/>
      <c r="C352" s="22"/>
      <c r="D352" s="22"/>
    </row>
    <row r="353" spans="1:4" x14ac:dyDescent="0.3">
      <c r="A353" s="20"/>
      <c r="B353" s="21"/>
      <c r="C353" s="22"/>
      <c r="D353" s="22"/>
    </row>
    <row r="354" spans="1:4" x14ac:dyDescent="0.3">
      <c r="A354" s="20"/>
      <c r="B354" s="21"/>
      <c r="C354" s="22"/>
      <c r="D354" s="22"/>
    </row>
    <row r="355" spans="1:4" x14ac:dyDescent="0.3">
      <c r="A355" s="20"/>
      <c r="B355" s="21"/>
      <c r="C355" s="22"/>
      <c r="D355" s="22"/>
    </row>
    <row r="356" spans="1:4" x14ac:dyDescent="0.3">
      <c r="A356" s="20"/>
      <c r="B356" s="21"/>
      <c r="C356" s="22"/>
      <c r="D356" s="22"/>
    </row>
    <row r="357" spans="1:4" x14ac:dyDescent="0.3">
      <c r="A357" s="20"/>
      <c r="B357" s="21"/>
      <c r="C357" s="22"/>
      <c r="D357" s="22"/>
    </row>
    <row r="358" spans="1:4" x14ac:dyDescent="0.3">
      <c r="A358" s="20"/>
      <c r="B358" s="21"/>
      <c r="C358" s="22"/>
      <c r="D358" s="22"/>
    </row>
    <row r="359" spans="1:4" x14ac:dyDescent="0.3">
      <c r="A359" s="20"/>
      <c r="B359" s="21"/>
      <c r="C359" s="22"/>
      <c r="D359" s="22"/>
    </row>
    <row r="360" spans="1:4" x14ac:dyDescent="0.3">
      <c r="A360" s="20"/>
      <c r="B360" s="21"/>
      <c r="C360" s="22"/>
      <c r="D360" s="22"/>
    </row>
    <row r="361" spans="1:4" x14ac:dyDescent="0.3">
      <c r="A361" s="20"/>
      <c r="B361" s="21"/>
      <c r="C361" s="22"/>
      <c r="D361" s="22"/>
    </row>
    <row r="362" spans="1:4" x14ac:dyDescent="0.3">
      <c r="A362" s="20"/>
      <c r="B362" s="21"/>
      <c r="C362" s="22"/>
      <c r="D362" s="22"/>
    </row>
    <row r="363" spans="1:4" x14ac:dyDescent="0.3">
      <c r="A363" s="20"/>
      <c r="B363" s="21"/>
      <c r="C363" s="22"/>
      <c r="D363" s="22"/>
    </row>
    <row r="364" spans="1:4" x14ac:dyDescent="0.3">
      <c r="A364" s="20"/>
      <c r="B364" s="21"/>
      <c r="C364" s="22"/>
      <c r="D364" s="22"/>
    </row>
    <row r="365" spans="1:4" x14ac:dyDescent="0.3">
      <c r="A365" s="20"/>
      <c r="B365" s="21"/>
      <c r="C365" s="22"/>
      <c r="D365" s="22"/>
    </row>
    <row r="366" spans="1:4" x14ac:dyDescent="0.3">
      <c r="A366" s="20"/>
      <c r="B366" s="21"/>
      <c r="C366" s="22"/>
      <c r="D366" s="22"/>
    </row>
    <row r="367" spans="1:4" x14ac:dyDescent="0.3">
      <c r="A367" s="20"/>
      <c r="B367" s="21"/>
      <c r="C367" s="22"/>
      <c r="D367" s="22"/>
    </row>
    <row r="368" spans="1:4" x14ac:dyDescent="0.3">
      <c r="A368" s="20"/>
      <c r="B368" s="21"/>
      <c r="C368" s="22"/>
      <c r="D368" s="22"/>
    </row>
    <row r="369" spans="1:4" x14ac:dyDescent="0.3">
      <c r="A369" s="20"/>
      <c r="B369" s="21"/>
      <c r="C369" s="22"/>
      <c r="D369" s="22"/>
    </row>
    <row r="370" spans="1:4" x14ac:dyDescent="0.3">
      <c r="A370" s="20"/>
      <c r="B370" s="21"/>
      <c r="C370" s="22"/>
      <c r="D370" s="22"/>
    </row>
    <row r="371" spans="1:4" x14ac:dyDescent="0.3">
      <c r="A371" s="20"/>
      <c r="B371" s="21"/>
      <c r="C371" s="22"/>
      <c r="D371" s="22"/>
    </row>
    <row r="372" spans="1:4" x14ac:dyDescent="0.3">
      <c r="A372" s="20"/>
      <c r="B372" s="21"/>
      <c r="C372" s="22"/>
      <c r="D372" s="22"/>
    </row>
    <row r="373" spans="1:4" x14ac:dyDescent="0.3">
      <c r="A373" s="20"/>
      <c r="B373" s="21"/>
      <c r="C373" s="22"/>
      <c r="D373" s="22"/>
    </row>
    <row r="374" spans="1:4" x14ac:dyDescent="0.3">
      <c r="A374" s="20"/>
      <c r="B374" s="21"/>
      <c r="C374" s="22"/>
      <c r="D374" s="22"/>
    </row>
    <row r="375" spans="1:4" x14ac:dyDescent="0.3">
      <c r="A375" s="20"/>
      <c r="B375" s="21"/>
      <c r="C375" s="22"/>
      <c r="D375" s="22"/>
    </row>
    <row r="376" spans="1:4" x14ac:dyDescent="0.3">
      <c r="A376" s="20"/>
      <c r="B376" s="21"/>
      <c r="C376" s="22"/>
      <c r="D376" s="22"/>
    </row>
    <row r="377" spans="1:4" x14ac:dyDescent="0.3">
      <c r="A377" s="20"/>
      <c r="B377" s="21"/>
      <c r="C377" s="22"/>
      <c r="D377" s="22"/>
    </row>
    <row r="378" spans="1:4" x14ac:dyDescent="0.3">
      <c r="A378" s="20"/>
      <c r="B378" s="21"/>
      <c r="C378" s="22"/>
      <c r="D378" s="22"/>
    </row>
    <row r="379" spans="1:4" x14ac:dyDescent="0.3">
      <c r="A379" s="20"/>
      <c r="B379" s="21"/>
      <c r="C379" s="22"/>
      <c r="D379" s="22"/>
    </row>
    <row r="380" spans="1:4" x14ac:dyDescent="0.3">
      <c r="A380" s="20"/>
      <c r="B380" s="21"/>
      <c r="C380" s="22"/>
      <c r="D380" s="22"/>
    </row>
    <row r="381" spans="1:4" x14ac:dyDescent="0.3">
      <c r="A381" s="20"/>
      <c r="B381" s="21"/>
      <c r="C381" s="22"/>
      <c r="D381" s="22"/>
    </row>
    <row r="382" spans="1:4" x14ac:dyDescent="0.3">
      <c r="A382" s="20"/>
      <c r="B382" s="21"/>
      <c r="C382" s="22"/>
      <c r="D382" s="22"/>
    </row>
    <row r="383" spans="1:4" x14ac:dyDescent="0.3">
      <c r="A383" s="20"/>
      <c r="B383" s="21"/>
      <c r="C383" s="22"/>
      <c r="D383" s="22"/>
    </row>
    <row r="384" spans="1:4" x14ac:dyDescent="0.3">
      <c r="A384" s="20"/>
      <c r="B384" s="21"/>
      <c r="C384" s="22"/>
      <c r="D384" s="22"/>
    </row>
    <row r="385" spans="1:4" x14ac:dyDescent="0.3">
      <c r="A385" s="20"/>
      <c r="B385" s="21"/>
      <c r="C385" s="22"/>
      <c r="D385" s="22"/>
    </row>
    <row r="386" spans="1:4" x14ac:dyDescent="0.3">
      <c r="A386" s="20"/>
      <c r="B386" s="21"/>
      <c r="C386" s="22"/>
      <c r="D386" s="22"/>
    </row>
    <row r="387" spans="1:4" x14ac:dyDescent="0.3">
      <c r="A387" s="20"/>
      <c r="B387" s="21"/>
      <c r="C387" s="22"/>
      <c r="D387" s="22"/>
    </row>
    <row r="388" spans="1:4" x14ac:dyDescent="0.3">
      <c r="A388" s="20"/>
      <c r="B388" s="21"/>
      <c r="C388" s="22"/>
      <c r="D388" s="22"/>
    </row>
    <row r="389" spans="1:4" x14ac:dyDescent="0.3">
      <c r="A389" s="20"/>
      <c r="B389" s="21"/>
      <c r="C389" s="22"/>
      <c r="D389" s="22"/>
    </row>
    <row r="390" spans="1:4" x14ac:dyDescent="0.3">
      <c r="A390" s="20"/>
      <c r="B390" s="21"/>
      <c r="C390" s="22"/>
      <c r="D390" s="22"/>
    </row>
    <row r="391" spans="1:4" x14ac:dyDescent="0.3">
      <c r="A391" s="20"/>
      <c r="B391" s="21"/>
      <c r="C391" s="22"/>
      <c r="D391" s="22"/>
    </row>
    <row r="392" spans="1:4" x14ac:dyDescent="0.3">
      <c r="A392" s="20"/>
      <c r="B392" s="21"/>
      <c r="C392" s="22"/>
      <c r="D392" s="22"/>
    </row>
    <row r="393" spans="1:4" x14ac:dyDescent="0.3">
      <c r="A393" s="20"/>
      <c r="B393" s="21"/>
      <c r="C393" s="22"/>
      <c r="D393" s="22"/>
    </row>
    <row r="394" spans="1:4" x14ac:dyDescent="0.3">
      <c r="A394" s="20"/>
      <c r="B394" s="21"/>
      <c r="C394" s="22"/>
      <c r="D394" s="22"/>
    </row>
    <row r="395" spans="1:4" x14ac:dyDescent="0.3">
      <c r="A395" s="20"/>
      <c r="B395" s="21"/>
      <c r="C395" s="22"/>
      <c r="D395" s="22"/>
    </row>
    <row r="396" spans="1:4" x14ac:dyDescent="0.3">
      <c r="A396" s="20"/>
      <c r="B396" s="21"/>
      <c r="C396" s="22"/>
      <c r="D396" s="22"/>
    </row>
    <row r="397" spans="1:4" x14ac:dyDescent="0.3">
      <c r="A397" s="20"/>
      <c r="B397" s="21"/>
      <c r="C397" s="22"/>
      <c r="D397" s="22"/>
    </row>
    <row r="398" spans="1:4" x14ac:dyDescent="0.3">
      <c r="A398" s="20"/>
      <c r="B398" s="21"/>
      <c r="C398" s="22"/>
      <c r="D398" s="22"/>
    </row>
    <row r="399" spans="1:4" x14ac:dyDescent="0.3">
      <c r="A399" s="20"/>
      <c r="B399" s="21"/>
      <c r="C399" s="22"/>
      <c r="D399" s="22"/>
    </row>
    <row r="400" spans="1:4" x14ac:dyDescent="0.3">
      <c r="A400" s="20"/>
      <c r="B400" s="21"/>
      <c r="C400" s="22"/>
      <c r="D400" s="22"/>
    </row>
    <row r="401" spans="1:4" x14ac:dyDescent="0.3">
      <c r="A401" s="20"/>
      <c r="B401" s="21"/>
      <c r="C401" s="22"/>
      <c r="D401" s="22"/>
    </row>
    <row r="402" spans="1:4" x14ac:dyDescent="0.3">
      <c r="A402" s="20"/>
      <c r="B402" s="21"/>
      <c r="C402" s="22"/>
      <c r="D402" s="22"/>
    </row>
    <row r="403" spans="1:4" x14ac:dyDescent="0.3">
      <c r="A403" s="20"/>
      <c r="B403" s="21"/>
      <c r="C403" s="22"/>
      <c r="D403" s="22"/>
    </row>
    <row r="404" spans="1:4" x14ac:dyDescent="0.3">
      <c r="A404" s="20"/>
      <c r="B404" s="21"/>
      <c r="C404" s="22"/>
      <c r="D404" s="22"/>
    </row>
    <row r="405" spans="1:4" x14ac:dyDescent="0.3">
      <c r="A405" s="20"/>
      <c r="B405" s="21"/>
      <c r="C405" s="22"/>
      <c r="D405" s="22"/>
    </row>
    <row r="406" spans="1:4" x14ac:dyDescent="0.3">
      <c r="A406" s="20"/>
      <c r="B406" s="21"/>
      <c r="C406" s="22"/>
      <c r="D406" s="22"/>
    </row>
    <row r="407" spans="1:4" x14ac:dyDescent="0.3">
      <c r="A407" s="20"/>
      <c r="B407" s="21"/>
      <c r="C407" s="22"/>
      <c r="D407" s="22"/>
    </row>
    <row r="408" spans="1:4" x14ac:dyDescent="0.3">
      <c r="A408" s="20"/>
      <c r="B408" s="21"/>
      <c r="C408" s="22"/>
      <c r="D408" s="22"/>
    </row>
    <row r="409" spans="1:4" x14ac:dyDescent="0.3">
      <c r="A409" s="20"/>
      <c r="B409" s="21"/>
      <c r="C409" s="22"/>
      <c r="D409" s="22"/>
    </row>
    <row r="410" spans="1:4" x14ac:dyDescent="0.3">
      <c r="A410" s="20"/>
      <c r="B410" s="21"/>
      <c r="C410" s="22"/>
      <c r="D410" s="22"/>
    </row>
    <row r="411" spans="1:4" x14ac:dyDescent="0.3">
      <c r="A411" s="20"/>
      <c r="B411" s="21"/>
      <c r="C411" s="22"/>
      <c r="D411" s="22"/>
    </row>
    <row r="412" spans="1:4" x14ac:dyDescent="0.3">
      <c r="A412" s="20"/>
      <c r="B412" s="21"/>
      <c r="C412" s="22"/>
      <c r="D412" s="22"/>
    </row>
    <row r="413" spans="1:4" x14ac:dyDescent="0.3">
      <c r="A413" s="20"/>
      <c r="B413" s="21"/>
      <c r="C413" s="22"/>
      <c r="D413" s="22"/>
    </row>
    <row r="414" spans="1:4" x14ac:dyDescent="0.3">
      <c r="A414" s="20"/>
      <c r="B414" s="21"/>
      <c r="C414" s="22"/>
      <c r="D414" s="22"/>
    </row>
    <row r="415" spans="1:4" x14ac:dyDescent="0.3">
      <c r="A415" s="20"/>
      <c r="B415" s="21"/>
      <c r="C415" s="22"/>
      <c r="D415" s="22"/>
    </row>
    <row r="416" spans="1:4" x14ac:dyDescent="0.3">
      <c r="A416" s="20"/>
      <c r="B416" s="21"/>
      <c r="C416" s="22"/>
      <c r="D416" s="22"/>
    </row>
    <row r="417" spans="1:4" x14ac:dyDescent="0.3">
      <c r="A417" s="20"/>
      <c r="B417" s="21"/>
      <c r="C417" s="22"/>
      <c r="D417" s="22"/>
    </row>
    <row r="418" spans="1:4" x14ac:dyDescent="0.3">
      <c r="A418" s="20"/>
      <c r="B418" s="21"/>
      <c r="C418" s="22"/>
      <c r="D418" s="22"/>
    </row>
    <row r="419" spans="1:4" x14ac:dyDescent="0.3">
      <c r="A419" s="20"/>
      <c r="B419" s="21"/>
      <c r="C419" s="22"/>
      <c r="D419" s="22"/>
    </row>
    <row r="420" spans="1:4" x14ac:dyDescent="0.3">
      <c r="A420" s="20"/>
      <c r="B420" s="21"/>
      <c r="C420" s="22"/>
      <c r="D420" s="22"/>
    </row>
    <row r="421" spans="1:4" x14ac:dyDescent="0.3">
      <c r="A421" s="20"/>
      <c r="B421" s="21"/>
      <c r="C421" s="22"/>
      <c r="D421" s="22"/>
    </row>
    <row r="422" spans="1:4" x14ac:dyDescent="0.3">
      <c r="A422" s="20"/>
      <c r="B422" s="21"/>
      <c r="C422" s="22"/>
      <c r="D422" s="22"/>
    </row>
    <row r="423" spans="1:4" x14ac:dyDescent="0.3">
      <c r="A423" s="20"/>
      <c r="B423" s="21"/>
      <c r="C423" s="22"/>
      <c r="D423" s="22"/>
    </row>
    <row r="424" spans="1:4" x14ac:dyDescent="0.3">
      <c r="A424" s="20"/>
      <c r="B424" s="21"/>
      <c r="C424" s="22"/>
      <c r="D424" s="22"/>
    </row>
    <row r="425" spans="1:4" x14ac:dyDescent="0.3">
      <c r="A425" s="20"/>
      <c r="B425" s="21"/>
      <c r="C425" s="22"/>
      <c r="D425" s="22"/>
    </row>
    <row r="426" spans="1:4" x14ac:dyDescent="0.3">
      <c r="A426" s="20"/>
      <c r="B426" s="21"/>
      <c r="C426" s="22"/>
      <c r="D426" s="22"/>
    </row>
    <row r="427" spans="1:4" x14ac:dyDescent="0.3">
      <c r="A427" s="20"/>
      <c r="B427" s="21"/>
      <c r="C427" s="22"/>
      <c r="D427" s="22"/>
    </row>
    <row r="428" spans="1:4" x14ac:dyDescent="0.3">
      <c r="A428" s="20"/>
      <c r="B428" s="21"/>
      <c r="C428" s="22"/>
      <c r="D428" s="22"/>
    </row>
    <row r="429" spans="1:4" x14ac:dyDescent="0.3">
      <c r="A429" s="20"/>
      <c r="B429" s="21"/>
      <c r="C429" s="22"/>
      <c r="D429" s="22"/>
    </row>
    <row r="430" spans="1:4" x14ac:dyDescent="0.3">
      <c r="A430" s="20"/>
      <c r="B430" s="21"/>
      <c r="C430" s="22"/>
      <c r="D430" s="22"/>
    </row>
    <row r="431" spans="1:4" x14ac:dyDescent="0.3">
      <c r="A431" s="20"/>
      <c r="B431" s="21"/>
      <c r="C431" s="22"/>
      <c r="D431" s="22"/>
    </row>
    <row r="432" spans="1:4" x14ac:dyDescent="0.3">
      <c r="A432" s="20"/>
      <c r="B432" s="21"/>
      <c r="C432" s="22"/>
      <c r="D432" s="22"/>
    </row>
    <row r="433" spans="1:4" x14ac:dyDescent="0.3">
      <c r="A433" s="20"/>
      <c r="B433" s="21"/>
      <c r="C433" s="22"/>
      <c r="D433" s="22"/>
    </row>
    <row r="434" spans="1:4" x14ac:dyDescent="0.3">
      <c r="A434" s="20"/>
      <c r="B434" s="21"/>
      <c r="C434" s="22"/>
      <c r="D434" s="22"/>
    </row>
    <row r="435" spans="1:4" x14ac:dyDescent="0.3">
      <c r="A435" s="20"/>
      <c r="B435" s="21"/>
      <c r="C435" s="22"/>
      <c r="D435" s="22"/>
    </row>
    <row r="436" spans="1:4" x14ac:dyDescent="0.3">
      <c r="A436" s="20"/>
      <c r="B436" s="21"/>
      <c r="C436" s="22"/>
      <c r="D436" s="22"/>
    </row>
    <row r="437" spans="1:4" x14ac:dyDescent="0.3">
      <c r="A437" s="20"/>
      <c r="B437" s="21"/>
      <c r="C437" s="22"/>
      <c r="D437" s="22"/>
    </row>
    <row r="438" spans="1:4" x14ac:dyDescent="0.3">
      <c r="A438" s="20"/>
      <c r="B438" s="21"/>
      <c r="C438" s="22"/>
      <c r="D438" s="22"/>
    </row>
    <row r="439" spans="1:4" x14ac:dyDescent="0.3">
      <c r="A439" s="20"/>
      <c r="B439" s="21"/>
      <c r="C439" s="22"/>
      <c r="D439" s="22"/>
    </row>
    <row r="440" spans="1:4" x14ac:dyDescent="0.3">
      <c r="A440" s="20"/>
      <c r="B440" s="21"/>
      <c r="C440" s="22"/>
      <c r="D440" s="22"/>
    </row>
    <row r="441" spans="1:4" x14ac:dyDescent="0.3">
      <c r="A441" s="20"/>
      <c r="B441" s="21"/>
      <c r="C441" s="22"/>
      <c r="D441" s="22"/>
    </row>
    <row r="442" spans="1:4" x14ac:dyDescent="0.3">
      <c r="A442" s="20"/>
      <c r="B442" s="21"/>
      <c r="C442" s="22"/>
      <c r="D442" s="22"/>
    </row>
    <row r="443" spans="1:4" x14ac:dyDescent="0.3">
      <c r="A443" s="20"/>
      <c r="B443" s="21"/>
      <c r="C443" s="22"/>
      <c r="D443" s="22"/>
    </row>
    <row r="444" spans="1:4" x14ac:dyDescent="0.3">
      <c r="A444" s="20"/>
      <c r="B444" s="21"/>
      <c r="C444" s="22"/>
      <c r="D444" s="22"/>
    </row>
    <row r="445" spans="1:4" x14ac:dyDescent="0.3">
      <c r="A445" s="20"/>
      <c r="B445" s="21"/>
      <c r="C445" s="22"/>
      <c r="D445" s="22"/>
    </row>
    <row r="446" spans="1:4" x14ac:dyDescent="0.3">
      <c r="A446" s="20"/>
      <c r="B446" s="21"/>
      <c r="C446" s="22"/>
      <c r="D446" s="22"/>
    </row>
    <row r="447" spans="1:4" x14ac:dyDescent="0.3">
      <c r="A447" s="20"/>
      <c r="B447" s="21"/>
      <c r="C447" s="22"/>
      <c r="D447" s="22"/>
    </row>
    <row r="448" spans="1:4" x14ac:dyDescent="0.3">
      <c r="A448" s="20"/>
      <c r="B448" s="21"/>
      <c r="C448" s="22"/>
      <c r="D448" s="22"/>
    </row>
    <row r="449" spans="1:4" x14ac:dyDescent="0.3">
      <c r="A449" s="20"/>
      <c r="B449" s="21"/>
      <c r="C449" s="22"/>
      <c r="D449" s="22"/>
    </row>
    <row r="450" spans="1:4" x14ac:dyDescent="0.3">
      <c r="A450" s="20"/>
      <c r="B450" s="21"/>
      <c r="C450" s="22"/>
      <c r="D450" s="22"/>
    </row>
    <row r="451" spans="1:4" x14ac:dyDescent="0.3">
      <c r="A451" s="20"/>
      <c r="B451" s="21"/>
      <c r="C451" s="22"/>
      <c r="D451" s="22"/>
    </row>
    <row r="452" spans="1:4" x14ac:dyDescent="0.3">
      <c r="A452" s="20"/>
      <c r="B452" s="21"/>
      <c r="C452" s="22"/>
      <c r="D452" s="22"/>
    </row>
    <row r="453" spans="1:4" x14ac:dyDescent="0.3">
      <c r="A453" s="20"/>
      <c r="B453" s="21"/>
      <c r="C453" s="22"/>
      <c r="D453" s="22"/>
    </row>
    <row r="454" spans="1:4" x14ac:dyDescent="0.3">
      <c r="A454" s="20"/>
      <c r="B454" s="21"/>
      <c r="C454" s="22"/>
      <c r="D454" s="22"/>
    </row>
    <row r="455" spans="1:4" x14ac:dyDescent="0.3">
      <c r="A455" s="20"/>
      <c r="B455" s="21"/>
      <c r="C455" s="22"/>
      <c r="D455" s="22"/>
    </row>
    <row r="456" spans="1:4" x14ac:dyDescent="0.3">
      <c r="A456" s="20"/>
      <c r="B456" s="21"/>
      <c r="C456" s="22"/>
      <c r="D456" s="22"/>
    </row>
    <row r="457" spans="1:4" x14ac:dyDescent="0.3">
      <c r="A457" s="20"/>
      <c r="B457" s="21"/>
      <c r="C457" s="22"/>
      <c r="D457" s="22"/>
    </row>
    <row r="458" spans="1:4" x14ac:dyDescent="0.3">
      <c r="A458" s="20"/>
      <c r="B458" s="21"/>
      <c r="C458" s="22"/>
      <c r="D458" s="22"/>
    </row>
    <row r="459" spans="1:4" x14ac:dyDescent="0.3">
      <c r="A459" s="20"/>
      <c r="B459" s="21"/>
      <c r="C459" s="22"/>
      <c r="D459" s="22"/>
    </row>
    <row r="460" spans="1:4" x14ac:dyDescent="0.3">
      <c r="A460" s="20"/>
      <c r="B460" s="21"/>
      <c r="C460" s="22"/>
      <c r="D460" s="22"/>
    </row>
    <row r="461" spans="1:4" x14ac:dyDescent="0.3">
      <c r="A461" s="20"/>
      <c r="B461" s="21"/>
      <c r="C461" s="22"/>
      <c r="D461" s="22"/>
    </row>
    <row r="462" spans="1:4" x14ac:dyDescent="0.3">
      <c r="A462" s="20"/>
      <c r="B462" s="21"/>
      <c r="C462" s="22"/>
      <c r="D462" s="22"/>
    </row>
    <row r="463" spans="1:4" x14ac:dyDescent="0.3">
      <c r="A463" s="20"/>
      <c r="B463" s="21"/>
      <c r="C463" s="22"/>
      <c r="D463" s="22"/>
    </row>
    <row r="464" spans="1:4" x14ac:dyDescent="0.3">
      <c r="A464" s="20"/>
      <c r="B464" s="21"/>
      <c r="C464" s="22"/>
      <c r="D464" s="22"/>
    </row>
    <row r="465" spans="1:4" x14ac:dyDescent="0.3">
      <c r="A465" s="20"/>
      <c r="B465" s="21"/>
      <c r="C465" s="22"/>
      <c r="D465" s="22"/>
    </row>
    <row r="466" spans="1:4" x14ac:dyDescent="0.3">
      <c r="A466" s="20"/>
      <c r="B466" s="21"/>
      <c r="C466" s="22"/>
      <c r="D466" s="22"/>
    </row>
    <row r="467" spans="1:4" x14ac:dyDescent="0.3">
      <c r="A467" s="20"/>
      <c r="B467" s="21"/>
      <c r="C467" s="22"/>
      <c r="D467" s="22"/>
    </row>
    <row r="468" spans="1:4" x14ac:dyDescent="0.3">
      <c r="A468" s="20"/>
      <c r="B468" s="21"/>
      <c r="C468" s="22"/>
      <c r="D468" s="22"/>
    </row>
    <row r="469" spans="1:4" x14ac:dyDescent="0.3">
      <c r="A469" s="20"/>
      <c r="B469" s="21"/>
      <c r="C469" s="22"/>
      <c r="D469" s="22"/>
    </row>
    <row r="470" spans="1:4" x14ac:dyDescent="0.3">
      <c r="A470" s="20"/>
      <c r="B470" s="21"/>
      <c r="C470" s="22"/>
      <c r="D470" s="22"/>
    </row>
    <row r="471" spans="1:4" x14ac:dyDescent="0.3">
      <c r="A471" s="20"/>
      <c r="B471" s="21"/>
      <c r="C471" s="22"/>
      <c r="D471" s="22"/>
    </row>
    <row r="472" spans="1:4" x14ac:dyDescent="0.3">
      <c r="A472" s="20"/>
      <c r="B472" s="21"/>
      <c r="C472" s="22"/>
      <c r="D472" s="22"/>
    </row>
    <row r="473" spans="1:4" x14ac:dyDescent="0.3">
      <c r="A473" s="20"/>
      <c r="B473" s="21"/>
      <c r="C473" s="22"/>
      <c r="D473" s="22"/>
    </row>
    <row r="474" spans="1:4" x14ac:dyDescent="0.3">
      <c r="A474" s="20"/>
      <c r="B474" s="21"/>
      <c r="C474" s="22"/>
      <c r="D474" s="22"/>
    </row>
    <row r="475" spans="1:4" x14ac:dyDescent="0.3">
      <c r="A475" s="20"/>
      <c r="B475" s="21"/>
      <c r="C475" s="22"/>
      <c r="D475" s="22"/>
    </row>
    <row r="476" spans="1:4" x14ac:dyDescent="0.3">
      <c r="A476" s="20"/>
      <c r="B476" s="21"/>
      <c r="C476" s="22"/>
      <c r="D476" s="22"/>
    </row>
    <row r="477" spans="1:4" x14ac:dyDescent="0.3">
      <c r="A477" s="20"/>
      <c r="B477" s="21"/>
      <c r="C477" s="22"/>
      <c r="D477" s="22"/>
    </row>
    <row r="478" spans="1:4" x14ac:dyDescent="0.3">
      <c r="A478" s="20"/>
      <c r="B478" s="21"/>
      <c r="C478" s="22"/>
      <c r="D478" s="22"/>
    </row>
    <row r="479" spans="1:4" x14ac:dyDescent="0.3">
      <c r="A479" s="20"/>
      <c r="B479" s="21"/>
      <c r="C479" s="22"/>
      <c r="D479" s="22"/>
    </row>
    <row r="480" spans="1:4" x14ac:dyDescent="0.3">
      <c r="A480" s="20"/>
      <c r="B480" s="21"/>
      <c r="C480" s="22"/>
      <c r="D480" s="22"/>
    </row>
    <row r="481" spans="1:4" x14ac:dyDescent="0.3">
      <c r="A481" s="20"/>
      <c r="B481" s="21"/>
      <c r="C481" s="22"/>
      <c r="D481" s="22"/>
    </row>
    <row r="482" spans="1:4" x14ac:dyDescent="0.3">
      <c r="A482" s="20"/>
      <c r="B482" s="21"/>
      <c r="C482" s="22"/>
      <c r="D482" s="22"/>
    </row>
    <row r="483" spans="1:4" x14ac:dyDescent="0.3">
      <c r="A483" s="20"/>
      <c r="B483" s="21"/>
      <c r="C483" s="22"/>
      <c r="D483" s="22"/>
    </row>
    <row r="484" spans="1:4" x14ac:dyDescent="0.3">
      <c r="A484" s="20"/>
      <c r="B484" s="21"/>
      <c r="C484" s="22"/>
      <c r="D484" s="22"/>
    </row>
    <row r="485" spans="1:4" x14ac:dyDescent="0.3">
      <c r="A485" s="20"/>
      <c r="B485" s="21"/>
      <c r="C485" s="22"/>
      <c r="D485" s="22"/>
    </row>
    <row r="486" spans="1:4" x14ac:dyDescent="0.3">
      <c r="A486" s="20"/>
      <c r="B486" s="21"/>
      <c r="C486" s="22"/>
      <c r="D486" s="22"/>
    </row>
    <row r="487" spans="1:4" x14ac:dyDescent="0.3">
      <c r="A487" s="20"/>
      <c r="B487" s="21"/>
      <c r="C487" s="22"/>
      <c r="D487" s="22"/>
    </row>
    <row r="488" spans="1:4" x14ac:dyDescent="0.3">
      <c r="A488" s="20"/>
      <c r="B488" s="21"/>
      <c r="C488" s="22"/>
      <c r="D488" s="22"/>
    </row>
    <row r="489" spans="1:4" x14ac:dyDescent="0.3">
      <c r="A489" s="20"/>
      <c r="B489" s="21"/>
      <c r="C489" s="22"/>
      <c r="D489" s="22"/>
    </row>
    <row r="490" spans="1:4" x14ac:dyDescent="0.3">
      <c r="A490" s="20"/>
      <c r="B490" s="21"/>
      <c r="C490" s="22"/>
      <c r="D490" s="22"/>
    </row>
    <row r="491" spans="1:4" x14ac:dyDescent="0.3">
      <c r="A491" s="20"/>
      <c r="B491" s="21"/>
      <c r="C491" s="22"/>
      <c r="D491" s="22"/>
    </row>
    <row r="492" spans="1:4" x14ac:dyDescent="0.3">
      <c r="A492" s="20"/>
      <c r="B492" s="21"/>
      <c r="C492" s="22"/>
      <c r="D492" s="22"/>
    </row>
    <row r="493" spans="1:4" x14ac:dyDescent="0.3">
      <c r="A493" s="20"/>
      <c r="B493" s="21"/>
      <c r="C493" s="22"/>
      <c r="D493" s="22"/>
    </row>
    <row r="494" spans="1:4" x14ac:dyDescent="0.3">
      <c r="A494" s="20"/>
      <c r="B494" s="21"/>
      <c r="C494" s="22"/>
      <c r="D494" s="22"/>
    </row>
    <row r="495" spans="1:4" x14ac:dyDescent="0.3">
      <c r="A495" s="20"/>
      <c r="B495" s="21"/>
      <c r="C495" s="22"/>
      <c r="D495" s="22"/>
    </row>
    <row r="496" spans="1:4" x14ac:dyDescent="0.3">
      <c r="A496" s="20"/>
      <c r="B496" s="21"/>
      <c r="C496" s="22"/>
      <c r="D496" s="22"/>
    </row>
    <row r="497" spans="1:4" x14ac:dyDescent="0.3">
      <c r="A497" s="20"/>
      <c r="B497" s="21"/>
      <c r="C497" s="22"/>
      <c r="D497" s="22"/>
    </row>
    <row r="498" spans="1:4" x14ac:dyDescent="0.3">
      <c r="A498" s="20"/>
      <c r="B498" s="21"/>
      <c r="C498" s="22"/>
      <c r="D498" s="22"/>
    </row>
    <row r="499" spans="1:4" x14ac:dyDescent="0.3">
      <c r="A499" s="20"/>
      <c r="B499" s="21"/>
      <c r="C499" s="22"/>
      <c r="D499" s="22"/>
    </row>
    <row r="500" spans="1:4" x14ac:dyDescent="0.3">
      <c r="A500" s="20"/>
      <c r="B500" s="21"/>
      <c r="C500" s="22"/>
      <c r="D500" s="22"/>
    </row>
    <row r="501" spans="1:4" x14ac:dyDescent="0.3">
      <c r="A501" s="20"/>
      <c r="B501" s="21"/>
      <c r="C501" s="22"/>
      <c r="D501" s="22"/>
    </row>
  </sheetData>
  <dataValidations count="2">
    <dataValidation type="list" allowBlank="1" sqref="C2:C501" xr:uid="{00000000-0002-0000-0200-000000000000}">
      <formula1>"Producer,Game Designer,Technical Director,Programmer,QA,Einarbeitung / Lernen"</formula1>
      <formula2>0</formula2>
    </dataValidation>
    <dataValidation type="decimal" allowBlank="1" sqref="B2:B501" xr:uid="{00000000-0002-0000-0200-000001000000}">
      <formula1>0</formula1>
      <formula2>16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7" customWidth="1"/>
    <col min="2" max="2" width="14" customWidth="1"/>
    <col min="3" max="3" width="42" customWidth="1"/>
    <col min="4" max="4" width="38" customWidth="1"/>
    <col min="5" max="5" width="16" customWidth="1"/>
    <col min="6" max="6" width="10" customWidth="1"/>
    <col min="7" max="7" width="12" customWidth="1"/>
    <col min="8" max="8" width="8" customWidth="1"/>
    <col min="9" max="11" width="7" customWidth="1"/>
    <col min="12" max="12" width="9" customWidth="1"/>
    <col min="13" max="13" width="8" customWidth="1"/>
    <col min="14" max="14" width="11" customWidth="1"/>
    <col min="15" max="15" width="32" customWidth="1"/>
    <col min="16" max="16" width="18" customWidth="1"/>
  </cols>
  <sheetData>
    <row r="1" spans="1:16" ht="31.5" customHeight="1" x14ac:dyDescent="0.3">
      <c r="A1" s="15" t="s">
        <v>72</v>
      </c>
      <c r="B1" s="15" t="s">
        <v>73</v>
      </c>
      <c r="C1" s="15" t="s">
        <v>74</v>
      </c>
      <c r="D1" s="15" t="s">
        <v>75</v>
      </c>
      <c r="E1" s="15" t="s">
        <v>76</v>
      </c>
      <c r="F1" s="15" t="s">
        <v>77</v>
      </c>
      <c r="G1" s="15" t="s">
        <v>78</v>
      </c>
      <c r="H1" s="15" t="s">
        <v>79</v>
      </c>
      <c r="I1" s="15" t="s">
        <v>80</v>
      </c>
      <c r="J1" s="15" t="s">
        <v>81</v>
      </c>
      <c r="K1" s="15" t="s">
        <v>82</v>
      </c>
      <c r="L1" s="15" t="s">
        <v>83</v>
      </c>
      <c r="M1" s="15" t="s">
        <v>84</v>
      </c>
      <c r="N1" s="15" t="s">
        <v>85</v>
      </c>
      <c r="O1" s="15" t="s">
        <v>86</v>
      </c>
      <c r="P1" s="15" t="s">
        <v>87</v>
      </c>
    </row>
    <row r="2" spans="1:16" ht="39.6" x14ac:dyDescent="0.3">
      <c r="A2" s="19" t="s">
        <v>88</v>
      </c>
      <c r="B2" s="19" t="s">
        <v>89</v>
      </c>
      <c r="C2" s="19" t="s">
        <v>90</v>
      </c>
      <c r="D2" s="19" t="s">
        <v>91</v>
      </c>
      <c r="E2" s="19" t="s">
        <v>92</v>
      </c>
      <c r="F2" s="19" t="s">
        <v>93</v>
      </c>
      <c r="G2" s="19" t="s">
        <v>94</v>
      </c>
      <c r="H2" s="19">
        <v>1</v>
      </c>
      <c r="I2" s="19">
        <v>2</v>
      </c>
      <c r="J2" s="19">
        <v>4</v>
      </c>
      <c r="K2" s="19">
        <v>8</v>
      </c>
      <c r="L2" s="23">
        <f t="shared" ref="L2:L33" si="0">IF(COUNT(I2:K2)=3,(I2+4*J2+K2)/6,"")</f>
        <v>4.333333333333333</v>
      </c>
      <c r="M2" s="19">
        <v>6</v>
      </c>
      <c r="N2" s="23">
        <f t="shared" ref="N2:N33" si="1">IF(AND(ISNUMBER(M2),ISNUMBER(L2)),M2-L2,"")</f>
        <v>1.666666666666667</v>
      </c>
      <c r="O2" s="22"/>
      <c r="P2" s="19" t="s">
        <v>95</v>
      </c>
    </row>
    <row r="3" spans="1:16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3" t="str">
        <f t="shared" si="0"/>
        <v/>
      </c>
      <c r="M3" s="22"/>
      <c r="N3" s="23" t="str">
        <f t="shared" si="1"/>
        <v/>
      </c>
      <c r="O3" s="22"/>
      <c r="P3" s="22"/>
    </row>
    <row r="4" spans="1:16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 t="str">
        <f t="shared" si="0"/>
        <v/>
      </c>
      <c r="M4" s="22"/>
      <c r="N4" s="23" t="str">
        <f t="shared" si="1"/>
        <v/>
      </c>
      <c r="O4" s="22"/>
      <c r="P4" s="22"/>
    </row>
    <row r="5" spans="1:16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3" t="str">
        <f t="shared" si="0"/>
        <v/>
      </c>
      <c r="M5" s="22"/>
      <c r="N5" s="23" t="str">
        <f t="shared" si="1"/>
        <v/>
      </c>
      <c r="O5" s="22"/>
      <c r="P5" s="22"/>
    </row>
    <row r="6" spans="1:16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3" t="str">
        <f t="shared" si="0"/>
        <v/>
      </c>
      <c r="M6" s="22"/>
      <c r="N6" s="23" t="str">
        <f t="shared" si="1"/>
        <v/>
      </c>
      <c r="O6" s="22"/>
      <c r="P6" s="22"/>
    </row>
    <row r="7" spans="1:16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3" t="str">
        <f t="shared" si="0"/>
        <v/>
      </c>
      <c r="M7" s="22"/>
      <c r="N7" s="23" t="str">
        <f t="shared" si="1"/>
        <v/>
      </c>
      <c r="O7" s="22"/>
      <c r="P7" s="22"/>
    </row>
    <row r="8" spans="1:16" x14ac:dyDescent="0.3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3" t="str">
        <f t="shared" si="0"/>
        <v/>
      </c>
      <c r="M8" s="22"/>
      <c r="N8" s="23" t="str">
        <f t="shared" si="1"/>
        <v/>
      </c>
      <c r="O8" s="22"/>
      <c r="P8" s="22"/>
    </row>
    <row r="9" spans="1:16" x14ac:dyDescent="0.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3" t="str">
        <f t="shared" si="0"/>
        <v/>
      </c>
      <c r="M9" s="22"/>
      <c r="N9" s="23" t="str">
        <f t="shared" si="1"/>
        <v/>
      </c>
      <c r="O9" s="22"/>
      <c r="P9" s="22"/>
    </row>
    <row r="10" spans="1:16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 t="str">
        <f t="shared" si="0"/>
        <v/>
      </c>
      <c r="M10" s="22"/>
      <c r="N10" s="23" t="str">
        <f t="shared" si="1"/>
        <v/>
      </c>
      <c r="O10" s="22"/>
      <c r="P10" s="22"/>
    </row>
    <row r="11" spans="1:16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3" t="str">
        <f t="shared" si="0"/>
        <v/>
      </c>
      <c r="M11" s="22"/>
      <c r="N11" s="23" t="str">
        <f t="shared" si="1"/>
        <v/>
      </c>
      <c r="O11" s="22"/>
      <c r="P11" s="22"/>
    </row>
    <row r="12" spans="1:16" x14ac:dyDescent="0.3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 t="str">
        <f t="shared" si="0"/>
        <v/>
      </c>
      <c r="M12" s="22"/>
      <c r="N12" s="23" t="str">
        <f t="shared" si="1"/>
        <v/>
      </c>
      <c r="O12" s="22"/>
      <c r="P12" s="22"/>
    </row>
    <row r="13" spans="1:16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 t="str">
        <f t="shared" si="0"/>
        <v/>
      </c>
      <c r="M13" s="22"/>
      <c r="N13" s="23" t="str">
        <f t="shared" si="1"/>
        <v/>
      </c>
      <c r="O13" s="22"/>
      <c r="P13" s="22"/>
    </row>
    <row r="14" spans="1:16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 t="str">
        <f t="shared" si="0"/>
        <v/>
      </c>
      <c r="M14" s="22"/>
      <c r="N14" s="23" t="str">
        <f t="shared" si="1"/>
        <v/>
      </c>
      <c r="O14" s="22"/>
      <c r="P14" s="22"/>
    </row>
    <row r="15" spans="1:16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 t="str">
        <f t="shared" si="0"/>
        <v/>
      </c>
      <c r="M15" s="22"/>
      <c r="N15" s="23" t="str">
        <f t="shared" si="1"/>
        <v/>
      </c>
      <c r="O15" s="22"/>
      <c r="P15" s="22"/>
    </row>
    <row r="16" spans="1:16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 t="str">
        <f t="shared" si="0"/>
        <v/>
      </c>
      <c r="M16" s="22"/>
      <c r="N16" s="23" t="str">
        <f t="shared" si="1"/>
        <v/>
      </c>
      <c r="O16" s="22"/>
      <c r="P16" s="22"/>
    </row>
    <row r="17" spans="1:16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 t="str">
        <f t="shared" si="0"/>
        <v/>
      </c>
      <c r="M17" s="22"/>
      <c r="N17" s="23" t="str">
        <f t="shared" si="1"/>
        <v/>
      </c>
      <c r="O17" s="22"/>
      <c r="P17" s="22"/>
    </row>
    <row r="18" spans="1:16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 t="str">
        <f t="shared" si="0"/>
        <v/>
      </c>
      <c r="M18" s="22"/>
      <c r="N18" s="23" t="str">
        <f t="shared" si="1"/>
        <v/>
      </c>
      <c r="O18" s="22"/>
      <c r="P18" s="22"/>
    </row>
    <row r="19" spans="1:16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 t="str">
        <f t="shared" si="0"/>
        <v/>
      </c>
      <c r="M19" s="22"/>
      <c r="N19" s="23" t="str">
        <f t="shared" si="1"/>
        <v/>
      </c>
      <c r="O19" s="22"/>
      <c r="P19" s="22"/>
    </row>
    <row r="20" spans="1:16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 t="str">
        <f t="shared" si="0"/>
        <v/>
      </c>
      <c r="M20" s="22"/>
      <c r="N20" s="23" t="str">
        <f t="shared" si="1"/>
        <v/>
      </c>
      <c r="O20" s="22"/>
      <c r="P20" s="22"/>
    </row>
    <row r="21" spans="1:16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3" t="str">
        <f t="shared" si="0"/>
        <v/>
      </c>
      <c r="M21" s="22"/>
      <c r="N21" s="23" t="str">
        <f t="shared" si="1"/>
        <v/>
      </c>
      <c r="O21" s="22"/>
      <c r="P21" s="22"/>
    </row>
    <row r="22" spans="1:16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3" t="str">
        <f t="shared" si="0"/>
        <v/>
      </c>
      <c r="M22" s="22"/>
      <c r="N22" s="23" t="str">
        <f t="shared" si="1"/>
        <v/>
      </c>
      <c r="O22" s="22"/>
      <c r="P22" s="22"/>
    </row>
    <row r="23" spans="1:16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3" t="str">
        <f t="shared" si="0"/>
        <v/>
      </c>
      <c r="M23" s="22"/>
      <c r="N23" s="23" t="str">
        <f t="shared" si="1"/>
        <v/>
      </c>
      <c r="O23" s="22"/>
      <c r="P23" s="22"/>
    </row>
    <row r="24" spans="1:16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3" t="str">
        <f t="shared" si="0"/>
        <v/>
      </c>
      <c r="M24" s="22"/>
      <c r="N24" s="23" t="str">
        <f t="shared" si="1"/>
        <v/>
      </c>
      <c r="O24" s="22"/>
      <c r="P24" s="22"/>
    </row>
    <row r="25" spans="1:16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3" t="str">
        <f t="shared" si="0"/>
        <v/>
      </c>
      <c r="M25" s="22"/>
      <c r="N25" s="23" t="str">
        <f t="shared" si="1"/>
        <v/>
      </c>
      <c r="O25" s="22"/>
      <c r="P25" s="22"/>
    </row>
    <row r="26" spans="1:16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3" t="str">
        <f t="shared" si="0"/>
        <v/>
      </c>
      <c r="M26" s="22"/>
      <c r="N26" s="23" t="str">
        <f t="shared" si="1"/>
        <v/>
      </c>
      <c r="O26" s="22"/>
      <c r="P26" s="22"/>
    </row>
    <row r="27" spans="1:16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3" t="str">
        <f t="shared" si="0"/>
        <v/>
      </c>
      <c r="M27" s="22"/>
      <c r="N27" s="23" t="str">
        <f t="shared" si="1"/>
        <v/>
      </c>
      <c r="O27" s="22"/>
      <c r="P27" s="22"/>
    </row>
    <row r="28" spans="1:16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3" t="str">
        <f t="shared" si="0"/>
        <v/>
      </c>
      <c r="M28" s="22"/>
      <c r="N28" s="23" t="str">
        <f t="shared" si="1"/>
        <v/>
      </c>
      <c r="O28" s="22"/>
      <c r="P28" s="22"/>
    </row>
    <row r="29" spans="1:16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3" t="str">
        <f t="shared" si="0"/>
        <v/>
      </c>
      <c r="M29" s="22"/>
      <c r="N29" s="23" t="str">
        <f t="shared" si="1"/>
        <v/>
      </c>
      <c r="O29" s="22"/>
      <c r="P29" s="22"/>
    </row>
    <row r="30" spans="1:16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3" t="str">
        <f t="shared" si="0"/>
        <v/>
      </c>
      <c r="M30" s="22"/>
      <c r="N30" s="23" t="str">
        <f t="shared" si="1"/>
        <v/>
      </c>
      <c r="O30" s="22"/>
      <c r="P30" s="22"/>
    </row>
    <row r="31" spans="1:16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 t="str">
        <f t="shared" si="0"/>
        <v/>
      </c>
      <c r="M31" s="22"/>
      <c r="N31" s="23" t="str">
        <f t="shared" si="1"/>
        <v/>
      </c>
      <c r="O31" s="22"/>
      <c r="P31" s="22"/>
    </row>
    <row r="32" spans="1:16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 t="str">
        <f t="shared" si="0"/>
        <v/>
      </c>
      <c r="M32" s="22"/>
      <c r="N32" s="23" t="str">
        <f t="shared" si="1"/>
        <v/>
      </c>
      <c r="O32" s="22"/>
      <c r="P32" s="22"/>
    </row>
    <row r="33" spans="1:16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 t="str">
        <f t="shared" si="0"/>
        <v/>
      </c>
      <c r="M33" s="22"/>
      <c r="N33" s="23" t="str">
        <f t="shared" si="1"/>
        <v/>
      </c>
      <c r="O33" s="22"/>
      <c r="P33" s="22"/>
    </row>
    <row r="34" spans="1:16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 t="str">
        <f t="shared" ref="L34:L65" si="2">IF(COUNT(I34:K34)=3,(I34+4*J34+K34)/6,"")</f>
        <v/>
      </c>
      <c r="M34" s="22"/>
      <c r="N34" s="23" t="str">
        <f t="shared" ref="N34:N65" si="3">IF(AND(ISNUMBER(M34),ISNUMBER(L34)),M34-L34,"")</f>
        <v/>
      </c>
      <c r="O34" s="22"/>
      <c r="P34" s="22"/>
    </row>
    <row r="35" spans="1:16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 t="str">
        <f t="shared" si="2"/>
        <v/>
      </c>
      <c r="M35" s="22"/>
      <c r="N35" s="23" t="str">
        <f t="shared" si="3"/>
        <v/>
      </c>
      <c r="O35" s="22"/>
      <c r="P35" s="22"/>
    </row>
    <row r="36" spans="1:16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 t="str">
        <f t="shared" si="2"/>
        <v/>
      </c>
      <c r="M36" s="22"/>
      <c r="N36" s="23" t="str">
        <f t="shared" si="3"/>
        <v/>
      </c>
      <c r="O36" s="22"/>
      <c r="P36" s="22"/>
    </row>
    <row r="37" spans="1:16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 t="str">
        <f t="shared" si="2"/>
        <v/>
      </c>
      <c r="M37" s="22"/>
      <c r="N37" s="23" t="str">
        <f t="shared" si="3"/>
        <v/>
      </c>
      <c r="O37" s="22"/>
      <c r="P37" s="22"/>
    </row>
    <row r="38" spans="1:16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 t="str">
        <f t="shared" si="2"/>
        <v/>
      </c>
      <c r="M38" s="22"/>
      <c r="N38" s="23" t="str">
        <f t="shared" si="3"/>
        <v/>
      </c>
      <c r="O38" s="22"/>
      <c r="P38" s="22"/>
    </row>
    <row r="39" spans="1:16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 t="str">
        <f t="shared" si="2"/>
        <v/>
      </c>
      <c r="M39" s="22"/>
      <c r="N39" s="23" t="str">
        <f t="shared" si="3"/>
        <v/>
      </c>
      <c r="O39" s="22"/>
      <c r="P39" s="22"/>
    </row>
    <row r="40" spans="1:16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 t="str">
        <f t="shared" si="2"/>
        <v/>
      </c>
      <c r="M40" s="22"/>
      <c r="N40" s="23" t="str">
        <f t="shared" si="3"/>
        <v/>
      </c>
      <c r="O40" s="22"/>
      <c r="P40" s="22"/>
    </row>
    <row r="41" spans="1:16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 t="str">
        <f t="shared" si="2"/>
        <v/>
      </c>
      <c r="M41" s="22"/>
      <c r="N41" s="23" t="str">
        <f t="shared" si="3"/>
        <v/>
      </c>
      <c r="O41" s="22"/>
      <c r="P41" s="22"/>
    </row>
    <row r="42" spans="1:16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 t="str">
        <f t="shared" si="2"/>
        <v/>
      </c>
      <c r="M42" s="22"/>
      <c r="N42" s="23" t="str">
        <f t="shared" si="3"/>
        <v/>
      </c>
      <c r="O42" s="22"/>
      <c r="P42" s="22"/>
    </row>
    <row r="43" spans="1:16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 t="str">
        <f t="shared" si="2"/>
        <v/>
      </c>
      <c r="M43" s="22"/>
      <c r="N43" s="23" t="str">
        <f t="shared" si="3"/>
        <v/>
      </c>
      <c r="O43" s="22"/>
      <c r="P43" s="22"/>
    </row>
    <row r="44" spans="1:16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 t="str">
        <f t="shared" si="2"/>
        <v/>
      </c>
      <c r="M44" s="22"/>
      <c r="N44" s="23" t="str">
        <f t="shared" si="3"/>
        <v/>
      </c>
      <c r="O44" s="22"/>
      <c r="P44" s="22"/>
    </row>
    <row r="45" spans="1:16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 t="str">
        <f t="shared" si="2"/>
        <v/>
      </c>
      <c r="M45" s="22"/>
      <c r="N45" s="23" t="str">
        <f t="shared" si="3"/>
        <v/>
      </c>
      <c r="O45" s="22"/>
      <c r="P45" s="22"/>
    </row>
    <row r="46" spans="1:16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 t="str">
        <f t="shared" si="2"/>
        <v/>
      </c>
      <c r="M46" s="22"/>
      <c r="N46" s="23" t="str">
        <f t="shared" si="3"/>
        <v/>
      </c>
      <c r="O46" s="22"/>
      <c r="P46" s="22"/>
    </row>
    <row r="47" spans="1:16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 t="str">
        <f t="shared" si="2"/>
        <v/>
      </c>
      <c r="M47" s="22"/>
      <c r="N47" s="23" t="str">
        <f t="shared" si="3"/>
        <v/>
      </c>
      <c r="O47" s="22"/>
      <c r="P47" s="22"/>
    </row>
    <row r="48" spans="1:16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 t="str">
        <f t="shared" si="2"/>
        <v/>
      </c>
      <c r="M48" s="22"/>
      <c r="N48" s="23" t="str">
        <f t="shared" si="3"/>
        <v/>
      </c>
      <c r="O48" s="22"/>
      <c r="P48" s="22"/>
    </row>
    <row r="49" spans="1:16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 t="str">
        <f t="shared" si="2"/>
        <v/>
      </c>
      <c r="M49" s="22"/>
      <c r="N49" s="23" t="str">
        <f t="shared" si="3"/>
        <v/>
      </c>
      <c r="O49" s="22"/>
      <c r="P49" s="22"/>
    </row>
    <row r="50" spans="1:16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 t="str">
        <f t="shared" si="2"/>
        <v/>
      </c>
      <c r="M50" s="22"/>
      <c r="N50" s="23" t="str">
        <f t="shared" si="3"/>
        <v/>
      </c>
      <c r="O50" s="22"/>
      <c r="P50" s="22"/>
    </row>
    <row r="51" spans="1:16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 t="str">
        <f t="shared" si="2"/>
        <v/>
      </c>
      <c r="M51" s="22"/>
      <c r="N51" s="23" t="str">
        <f t="shared" si="3"/>
        <v/>
      </c>
      <c r="O51" s="22"/>
      <c r="P51" s="22"/>
    </row>
    <row r="52" spans="1:16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 t="str">
        <f t="shared" si="2"/>
        <v/>
      </c>
      <c r="M52" s="22"/>
      <c r="N52" s="23" t="str">
        <f t="shared" si="3"/>
        <v/>
      </c>
      <c r="O52" s="22"/>
      <c r="P52" s="22"/>
    </row>
    <row r="53" spans="1:16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 t="str">
        <f t="shared" si="2"/>
        <v/>
      </c>
      <c r="M53" s="22"/>
      <c r="N53" s="23" t="str">
        <f t="shared" si="3"/>
        <v/>
      </c>
      <c r="O53" s="22"/>
      <c r="P53" s="22"/>
    </row>
    <row r="54" spans="1:16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 t="str">
        <f t="shared" si="2"/>
        <v/>
      </c>
      <c r="M54" s="22"/>
      <c r="N54" s="23" t="str">
        <f t="shared" si="3"/>
        <v/>
      </c>
      <c r="O54" s="22"/>
      <c r="P54" s="22"/>
    </row>
    <row r="55" spans="1:16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 t="str">
        <f t="shared" si="2"/>
        <v/>
      </c>
      <c r="M55" s="22"/>
      <c r="N55" s="23" t="str">
        <f t="shared" si="3"/>
        <v/>
      </c>
      <c r="O55" s="22"/>
      <c r="P55" s="22"/>
    </row>
    <row r="56" spans="1:16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 t="str">
        <f t="shared" si="2"/>
        <v/>
      </c>
      <c r="M56" s="22"/>
      <c r="N56" s="23" t="str">
        <f t="shared" si="3"/>
        <v/>
      </c>
      <c r="O56" s="22"/>
      <c r="P56" s="22"/>
    </row>
    <row r="57" spans="1:16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 t="str">
        <f t="shared" si="2"/>
        <v/>
      </c>
      <c r="M57" s="22"/>
      <c r="N57" s="23" t="str">
        <f t="shared" si="3"/>
        <v/>
      </c>
      <c r="O57" s="22"/>
      <c r="P57" s="22"/>
    </row>
    <row r="58" spans="1:16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 t="str">
        <f t="shared" si="2"/>
        <v/>
      </c>
      <c r="M58" s="22"/>
      <c r="N58" s="23" t="str">
        <f t="shared" si="3"/>
        <v/>
      </c>
      <c r="O58" s="22"/>
      <c r="P58" s="22"/>
    </row>
    <row r="59" spans="1:16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 t="str">
        <f t="shared" si="2"/>
        <v/>
      </c>
      <c r="M59" s="22"/>
      <c r="N59" s="23" t="str">
        <f t="shared" si="3"/>
        <v/>
      </c>
      <c r="O59" s="22"/>
      <c r="P59" s="22"/>
    </row>
    <row r="60" spans="1:16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 t="str">
        <f t="shared" si="2"/>
        <v/>
      </c>
      <c r="M60" s="22"/>
      <c r="N60" s="23" t="str">
        <f t="shared" si="3"/>
        <v/>
      </c>
      <c r="O60" s="22"/>
      <c r="P60" s="22"/>
    </row>
    <row r="61" spans="1:16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 t="str">
        <f t="shared" si="2"/>
        <v/>
      </c>
      <c r="M61" s="22"/>
      <c r="N61" s="23" t="str">
        <f t="shared" si="3"/>
        <v/>
      </c>
      <c r="O61" s="22"/>
      <c r="P61" s="22"/>
    </row>
    <row r="62" spans="1:16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 t="str">
        <f t="shared" si="2"/>
        <v/>
      </c>
      <c r="M62" s="22"/>
      <c r="N62" s="23" t="str">
        <f t="shared" si="3"/>
        <v/>
      </c>
      <c r="O62" s="22"/>
      <c r="P62" s="22"/>
    </row>
    <row r="63" spans="1:16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 t="str">
        <f t="shared" si="2"/>
        <v/>
      </c>
      <c r="M63" s="22"/>
      <c r="N63" s="23" t="str">
        <f t="shared" si="3"/>
        <v/>
      </c>
      <c r="O63" s="22"/>
      <c r="P63" s="22"/>
    </row>
    <row r="64" spans="1:16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 t="str">
        <f t="shared" si="2"/>
        <v/>
      </c>
      <c r="M64" s="22"/>
      <c r="N64" s="23" t="str">
        <f t="shared" si="3"/>
        <v/>
      </c>
      <c r="O64" s="22"/>
      <c r="P64" s="22"/>
    </row>
    <row r="65" spans="1:16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 t="str">
        <f t="shared" si="2"/>
        <v/>
      </c>
      <c r="M65" s="22"/>
      <c r="N65" s="23" t="str">
        <f t="shared" si="3"/>
        <v/>
      </c>
      <c r="O65" s="22"/>
      <c r="P65" s="22"/>
    </row>
    <row r="66" spans="1:16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 t="str">
        <f t="shared" ref="L66:L97" si="4">IF(COUNT(I66:K66)=3,(I66+4*J66+K66)/6,"")</f>
        <v/>
      </c>
      <c r="M66" s="22"/>
      <c r="N66" s="23" t="str">
        <f t="shared" ref="N66:N97" si="5">IF(AND(ISNUMBER(M66),ISNUMBER(L66)),M66-L66,"")</f>
        <v/>
      </c>
      <c r="O66" s="22"/>
      <c r="P66" s="22"/>
    </row>
    <row r="67" spans="1:16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 t="str">
        <f t="shared" si="4"/>
        <v/>
      </c>
      <c r="M67" s="22"/>
      <c r="N67" s="23" t="str">
        <f t="shared" si="5"/>
        <v/>
      </c>
      <c r="O67" s="22"/>
      <c r="P67" s="22"/>
    </row>
    <row r="68" spans="1:16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 t="str">
        <f t="shared" si="4"/>
        <v/>
      </c>
      <c r="M68" s="22"/>
      <c r="N68" s="23" t="str">
        <f t="shared" si="5"/>
        <v/>
      </c>
      <c r="O68" s="22"/>
      <c r="P68" s="22"/>
    </row>
    <row r="69" spans="1:16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 t="str">
        <f t="shared" si="4"/>
        <v/>
      </c>
      <c r="M69" s="22"/>
      <c r="N69" s="23" t="str">
        <f t="shared" si="5"/>
        <v/>
      </c>
      <c r="O69" s="22"/>
      <c r="P69" s="22"/>
    </row>
    <row r="70" spans="1:16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 t="str">
        <f t="shared" si="4"/>
        <v/>
      </c>
      <c r="M70" s="22"/>
      <c r="N70" s="23" t="str">
        <f t="shared" si="5"/>
        <v/>
      </c>
      <c r="O70" s="22"/>
      <c r="P70" s="22"/>
    </row>
    <row r="71" spans="1:16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 t="str">
        <f t="shared" si="4"/>
        <v/>
      </c>
      <c r="M71" s="22"/>
      <c r="N71" s="23" t="str">
        <f t="shared" si="5"/>
        <v/>
      </c>
      <c r="O71" s="22"/>
      <c r="P71" s="22"/>
    </row>
    <row r="72" spans="1:16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 t="str">
        <f t="shared" si="4"/>
        <v/>
      </c>
      <c r="M72" s="22"/>
      <c r="N72" s="23" t="str">
        <f t="shared" si="5"/>
        <v/>
      </c>
      <c r="O72" s="22"/>
      <c r="P72" s="22"/>
    </row>
    <row r="73" spans="1:16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 t="str">
        <f t="shared" si="4"/>
        <v/>
      </c>
      <c r="M73" s="22"/>
      <c r="N73" s="23" t="str">
        <f t="shared" si="5"/>
        <v/>
      </c>
      <c r="O73" s="22"/>
      <c r="P73" s="22"/>
    </row>
    <row r="74" spans="1:16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 t="str">
        <f t="shared" si="4"/>
        <v/>
      </c>
      <c r="M74" s="22"/>
      <c r="N74" s="23" t="str">
        <f t="shared" si="5"/>
        <v/>
      </c>
      <c r="O74" s="22"/>
      <c r="P74" s="22"/>
    </row>
    <row r="75" spans="1:16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 t="str">
        <f t="shared" si="4"/>
        <v/>
      </c>
      <c r="M75" s="22"/>
      <c r="N75" s="23" t="str">
        <f t="shared" si="5"/>
        <v/>
      </c>
      <c r="O75" s="22"/>
      <c r="P75" s="22"/>
    </row>
    <row r="76" spans="1:16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 t="str">
        <f t="shared" si="4"/>
        <v/>
      </c>
      <c r="M76" s="22"/>
      <c r="N76" s="23" t="str">
        <f t="shared" si="5"/>
        <v/>
      </c>
      <c r="O76" s="22"/>
      <c r="P76" s="22"/>
    </row>
    <row r="77" spans="1:16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 t="str">
        <f t="shared" si="4"/>
        <v/>
      </c>
      <c r="M77" s="22"/>
      <c r="N77" s="23" t="str">
        <f t="shared" si="5"/>
        <v/>
      </c>
      <c r="O77" s="22"/>
      <c r="P77" s="22"/>
    </row>
    <row r="78" spans="1:16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 t="str">
        <f t="shared" si="4"/>
        <v/>
      </c>
      <c r="M78" s="22"/>
      <c r="N78" s="23" t="str">
        <f t="shared" si="5"/>
        <v/>
      </c>
      <c r="O78" s="22"/>
      <c r="P78" s="22"/>
    </row>
    <row r="79" spans="1:16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 t="str">
        <f t="shared" si="4"/>
        <v/>
      </c>
      <c r="M79" s="22"/>
      <c r="N79" s="23" t="str">
        <f t="shared" si="5"/>
        <v/>
      </c>
      <c r="O79" s="22"/>
      <c r="P79" s="22"/>
    </row>
    <row r="80" spans="1:16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 t="str">
        <f t="shared" si="4"/>
        <v/>
      </c>
      <c r="M80" s="22"/>
      <c r="N80" s="23" t="str">
        <f t="shared" si="5"/>
        <v/>
      </c>
      <c r="O80" s="22"/>
      <c r="P80" s="22"/>
    </row>
    <row r="81" spans="1:16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 t="str">
        <f t="shared" si="4"/>
        <v/>
      </c>
      <c r="M81" s="22"/>
      <c r="N81" s="23" t="str">
        <f t="shared" si="5"/>
        <v/>
      </c>
      <c r="O81" s="22"/>
      <c r="P81" s="22"/>
    </row>
    <row r="82" spans="1:16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 t="str">
        <f t="shared" si="4"/>
        <v/>
      </c>
      <c r="M82" s="22"/>
      <c r="N82" s="23" t="str">
        <f t="shared" si="5"/>
        <v/>
      </c>
      <c r="O82" s="22"/>
      <c r="P82" s="22"/>
    </row>
    <row r="83" spans="1:16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 t="str">
        <f t="shared" si="4"/>
        <v/>
      </c>
      <c r="M83" s="22"/>
      <c r="N83" s="23" t="str">
        <f t="shared" si="5"/>
        <v/>
      </c>
      <c r="O83" s="22"/>
      <c r="P83" s="22"/>
    </row>
    <row r="84" spans="1:16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 t="str">
        <f t="shared" si="4"/>
        <v/>
      </c>
      <c r="M84" s="22"/>
      <c r="N84" s="23" t="str">
        <f t="shared" si="5"/>
        <v/>
      </c>
      <c r="O84" s="22"/>
      <c r="P84" s="22"/>
    </row>
    <row r="85" spans="1:16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 t="str">
        <f t="shared" si="4"/>
        <v/>
      </c>
      <c r="M85" s="22"/>
      <c r="N85" s="23" t="str">
        <f t="shared" si="5"/>
        <v/>
      </c>
      <c r="O85" s="22"/>
      <c r="P85" s="22"/>
    </row>
    <row r="86" spans="1:16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 t="str">
        <f t="shared" si="4"/>
        <v/>
      </c>
      <c r="M86" s="22"/>
      <c r="N86" s="23" t="str">
        <f t="shared" si="5"/>
        <v/>
      </c>
      <c r="O86" s="22"/>
      <c r="P86" s="22"/>
    </row>
    <row r="87" spans="1:16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 t="str">
        <f t="shared" si="4"/>
        <v/>
      </c>
      <c r="M87" s="22"/>
      <c r="N87" s="23" t="str">
        <f t="shared" si="5"/>
        <v/>
      </c>
      <c r="O87" s="22"/>
      <c r="P87" s="22"/>
    </row>
    <row r="88" spans="1:16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 t="str">
        <f t="shared" si="4"/>
        <v/>
      </c>
      <c r="M88" s="22"/>
      <c r="N88" s="23" t="str">
        <f t="shared" si="5"/>
        <v/>
      </c>
      <c r="O88" s="22"/>
      <c r="P88" s="22"/>
    </row>
    <row r="89" spans="1:16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 t="str">
        <f t="shared" si="4"/>
        <v/>
      </c>
      <c r="M89" s="22"/>
      <c r="N89" s="23" t="str">
        <f t="shared" si="5"/>
        <v/>
      </c>
      <c r="O89" s="22"/>
      <c r="P89" s="22"/>
    </row>
    <row r="90" spans="1:16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 t="str">
        <f t="shared" si="4"/>
        <v/>
      </c>
      <c r="M90" s="22"/>
      <c r="N90" s="23" t="str">
        <f t="shared" si="5"/>
        <v/>
      </c>
      <c r="O90" s="22"/>
      <c r="P90" s="22"/>
    </row>
    <row r="91" spans="1:16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 t="str">
        <f t="shared" si="4"/>
        <v/>
      </c>
      <c r="M91" s="22"/>
      <c r="N91" s="23" t="str">
        <f t="shared" si="5"/>
        <v/>
      </c>
      <c r="O91" s="22"/>
      <c r="P91" s="22"/>
    </row>
    <row r="92" spans="1:16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 t="str">
        <f t="shared" si="4"/>
        <v/>
      </c>
      <c r="M92" s="22"/>
      <c r="N92" s="23" t="str">
        <f t="shared" si="5"/>
        <v/>
      </c>
      <c r="O92" s="22"/>
      <c r="P92" s="22"/>
    </row>
    <row r="93" spans="1:16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 t="str">
        <f t="shared" si="4"/>
        <v/>
      </c>
      <c r="M93" s="22"/>
      <c r="N93" s="23" t="str">
        <f t="shared" si="5"/>
        <v/>
      </c>
      <c r="O93" s="22"/>
      <c r="P93" s="22"/>
    </row>
    <row r="94" spans="1:16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 t="str">
        <f t="shared" si="4"/>
        <v/>
      </c>
      <c r="M94" s="22"/>
      <c r="N94" s="23" t="str">
        <f t="shared" si="5"/>
        <v/>
      </c>
      <c r="O94" s="22"/>
      <c r="P94" s="22"/>
    </row>
    <row r="95" spans="1:16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 t="str">
        <f t="shared" si="4"/>
        <v/>
      </c>
      <c r="M95" s="22"/>
      <c r="N95" s="23" t="str">
        <f t="shared" si="5"/>
        <v/>
      </c>
      <c r="O95" s="22"/>
      <c r="P95" s="22"/>
    </row>
    <row r="96" spans="1:16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 t="str">
        <f t="shared" si="4"/>
        <v/>
      </c>
      <c r="M96" s="22"/>
      <c r="N96" s="23" t="str">
        <f t="shared" si="5"/>
        <v/>
      </c>
      <c r="O96" s="22"/>
      <c r="P96" s="22"/>
    </row>
    <row r="97" spans="1:16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 t="str">
        <f t="shared" si="4"/>
        <v/>
      </c>
      <c r="M97" s="22"/>
      <c r="N97" s="23" t="str">
        <f t="shared" si="5"/>
        <v/>
      </c>
      <c r="O97" s="22"/>
      <c r="P97" s="22"/>
    </row>
    <row r="98" spans="1:16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 t="str">
        <f t="shared" ref="L98:L129" si="6">IF(COUNT(I98:K98)=3,(I98+4*J98+K98)/6,"")</f>
        <v/>
      </c>
      <c r="M98" s="22"/>
      <c r="N98" s="23" t="str">
        <f t="shared" ref="N98:N129" si="7">IF(AND(ISNUMBER(M98),ISNUMBER(L98)),M98-L98,"")</f>
        <v/>
      </c>
      <c r="O98" s="22"/>
      <c r="P98" s="22"/>
    </row>
    <row r="99" spans="1:16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 t="str">
        <f t="shared" si="6"/>
        <v/>
      </c>
      <c r="M99" s="22"/>
      <c r="N99" s="23" t="str">
        <f t="shared" si="7"/>
        <v/>
      </c>
      <c r="O99" s="22"/>
      <c r="P99" s="22"/>
    </row>
    <row r="100" spans="1:16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 t="str">
        <f t="shared" si="6"/>
        <v/>
      </c>
      <c r="M100" s="22"/>
      <c r="N100" s="23" t="str">
        <f t="shared" si="7"/>
        <v/>
      </c>
      <c r="O100" s="22"/>
      <c r="P100" s="22"/>
    </row>
    <row r="101" spans="1:16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 t="str">
        <f t="shared" si="6"/>
        <v/>
      </c>
      <c r="M101" s="22"/>
      <c r="N101" s="23" t="str">
        <f t="shared" si="7"/>
        <v/>
      </c>
      <c r="O101" s="22"/>
      <c r="P101" s="22"/>
    </row>
    <row r="102" spans="1:16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 t="str">
        <f t="shared" si="6"/>
        <v/>
      </c>
      <c r="M102" s="22"/>
      <c r="N102" s="23" t="str">
        <f t="shared" si="7"/>
        <v/>
      </c>
      <c r="O102" s="22"/>
      <c r="P102" s="22"/>
    </row>
    <row r="103" spans="1:16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 t="str">
        <f t="shared" si="6"/>
        <v/>
      </c>
      <c r="M103" s="22"/>
      <c r="N103" s="23" t="str">
        <f t="shared" si="7"/>
        <v/>
      </c>
      <c r="O103" s="22"/>
      <c r="P103" s="22"/>
    </row>
    <row r="104" spans="1:16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 t="str">
        <f t="shared" si="6"/>
        <v/>
      </c>
      <c r="M104" s="22"/>
      <c r="N104" s="23" t="str">
        <f t="shared" si="7"/>
        <v/>
      </c>
      <c r="O104" s="22"/>
      <c r="P104" s="22"/>
    </row>
    <row r="105" spans="1:16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 t="str">
        <f t="shared" si="6"/>
        <v/>
      </c>
      <c r="M105" s="22"/>
      <c r="N105" s="23" t="str">
        <f t="shared" si="7"/>
        <v/>
      </c>
      <c r="O105" s="22"/>
      <c r="P105" s="22"/>
    </row>
    <row r="106" spans="1:16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 t="str">
        <f t="shared" si="6"/>
        <v/>
      </c>
      <c r="M106" s="22"/>
      <c r="N106" s="23" t="str">
        <f t="shared" si="7"/>
        <v/>
      </c>
      <c r="O106" s="22"/>
      <c r="P106" s="22"/>
    </row>
    <row r="107" spans="1:16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 t="str">
        <f t="shared" si="6"/>
        <v/>
      </c>
      <c r="M107" s="22"/>
      <c r="N107" s="23" t="str">
        <f t="shared" si="7"/>
        <v/>
      </c>
      <c r="O107" s="22"/>
      <c r="P107" s="22"/>
    </row>
    <row r="108" spans="1:16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 t="str">
        <f t="shared" si="6"/>
        <v/>
      </c>
      <c r="M108" s="22"/>
      <c r="N108" s="23" t="str">
        <f t="shared" si="7"/>
        <v/>
      </c>
      <c r="O108" s="22"/>
      <c r="P108" s="22"/>
    </row>
    <row r="109" spans="1:16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 t="str">
        <f t="shared" si="6"/>
        <v/>
      </c>
      <c r="M109" s="22"/>
      <c r="N109" s="23" t="str">
        <f t="shared" si="7"/>
        <v/>
      </c>
      <c r="O109" s="22"/>
      <c r="P109" s="22"/>
    </row>
    <row r="110" spans="1:16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 t="str">
        <f t="shared" si="6"/>
        <v/>
      </c>
      <c r="M110" s="22"/>
      <c r="N110" s="23" t="str">
        <f t="shared" si="7"/>
        <v/>
      </c>
      <c r="O110" s="22"/>
      <c r="P110" s="22"/>
    </row>
    <row r="111" spans="1:16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 t="str">
        <f t="shared" si="6"/>
        <v/>
      </c>
      <c r="M111" s="22"/>
      <c r="N111" s="23" t="str">
        <f t="shared" si="7"/>
        <v/>
      </c>
      <c r="O111" s="22"/>
      <c r="P111" s="22"/>
    </row>
    <row r="112" spans="1:16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 t="str">
        <f t="shared" si="6"/>
        <v/>
      </c>
      <c r="M112" s="22"/>
      <c r="N112" s="23" t="str">
        <f t="shared" si="7"/>
        <v/>
      </c>
      <c r="O112" s="22"/>
      <c r="P112" s="22"/>
    </row>
    <row r="113" spans="1:16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 t="str">
        <f t="shared" si="6"/>
        <v/>
      </c>
      <c r="M113" s="22"/>
      <c r="N113" s="23" t="str">
        <f t="shared" si="7"/>
        <v/>
      </c>
      <c r="O113" s="22"/>
      <c r="P113" s="22"/>
    </row>
    <row r="114" spans="1:16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 t="str">
        <f t="shared" si="6"/>
        <v/>
      </c>
      <c r="M114" s="22"/>
      <c r="N114" s="23" t="str">
        <f t="shared" si="7"/>
        <v/>
      </c>
      <c r="O114" s="22"/>
      <c r="P114" s="22"/>
    </row>
    <row r="115" spans="1:16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 t="str">
        <f t="shared" si="6"/>
        <v/>
      </c>
      <c r="M115" s="22"/>
      <c r="N115" s="23" t="str">
        <f t="shared" si="7"/>
        <v/>
      </c>
      <c r="O115" s="22"/>
      <c r="P115" s="22"/>
    </row>
    <row r="116" spans="1:16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 t="str">
        <f t="shared" si="6"/>
        <v/>
      </c>
      <c r="M116" s="22"/>
      <c r="N116" s="23" t="str">
        <f t="shared" si="7"/>
        <v/>
      </c>
      <c r="O116" s="22"/>
      <c r="P116" s="22"/>
    </row>
    <row r="117" spans="1:16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 t="str">
        <f t="shared" si="6"/>
        <v/>
      </c>
      <c r="M117" s="22"/>
      <c r="N117" s="23" t="str">
        <f t="shared" si="7"/>
        <v/>
      </c>
      <c r="O117" s="22"/>
      <c r="P117" s="22"/>
    </row>
    <row r="118" spans="1:16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 t="str">
        <f t="shared" si="6"/>
        <v/>
      </c>
      <c r="M118" s="22"/>
      <c r="N118" s="23" t="str">
        <f t="shared" si="7"/>
        <v/>
      </c>
      <c r="O118" s="22"/>
      <c r="P118" s="22"/>
    </row>
    <row r="119" spans="1:16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 t="str">
        <f t="shared" si="6"/>
        <v/>
      </c>
      <c r="M119" s="22"/>
      <c r="N119" s="23" t="str">
        <f t="shared" si="7"/>
        <v/>
      </c>
      <c r="O119" s="22"/>
      <c r="P119" s="22"/>
    </row>
    <row r="120" spans="1:16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 t="str">
        <f t="shared" si="6"/>
        <v/>
      </c>
      <c r="M120" s="22"/>
      <c r="N120" s="23" t="str">
        <f t="shared" si="7"/>
        <v/>
      </c>
      <c r="O120" s="22"/>
      <c r="P120" s="22"/>
    </row>
    <row r="121" spans="1:16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 t="str">
        <f t="shared" si="6"/>
        <v/>
      </c>
      <c r="M121" s="22"/>
      <c r="N121" s="23" t="str">
        <f t="shared" si="7"/>
        <v/>
      </c>
      <c r="O121" s="22"/>
      <c r="P121" s="22"/>
    </row>
    <row r="122" spans="1:16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 t="str">
        <f t="shared" si="6"/>
        <v/>
      </c>
      <c r="M122" s="22"/>
      <c r="N122" s="23" t="str">
        <f t="shared" si="7"/>
        <v/>
      </c>
      <c r="O122" s="22"/>
      <c r="P122" s="22"/>
    </row>
    <row r="123" spans="1:16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 t="str">
        <f t="shared" si="6"/>
        <v/>
      </c>
      <c r="M123" s="22"/>
      <c r="N123" s="23" t="str">
        <f t="shared" si="7"/>
        <v/>
      </c>
      <c r="O123" s="22"/>
      <c r="P123" s="22"/>
    </row>
    <row r="124" spans="1:16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 t="str">
        <f t="shared" si="6"/>
        <v/>
      </c>
      <c r="M124" s="22"/>
      <c r="N124" s="23" t="str">
        <f t="shared" si="7"/>
        <v/>
      </c>
      <c r="O124" s="22"/>
      <c r="P124" s="22"/>
    </row>
    <row r="125" spans="1:16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 t="str">
        <f t="shared" si="6"/>
        <v/>
      </c>
      <c r="M125" s="22"/>
      <c r="N125" s="23" t="str">
        <f t="shared" si="7"/>
        <v/>
      </c>
      <c r="O125" s="22"/>
      <c r="P125" s="22"/>
    </row>
    <row r="126" spans="1:16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 t="str">
        <f t="shared" si="6"/>
        <v/>
      </c>
      <c r="M126" s="22"/>
      <c r="N126" s="23" t="str">
        <f t="shared" si="7"/>
        <v/>
      </c>
      <c r="O126" s="22"/>
      <c r="P126" s="22"/>
    </row>
    <row r="127" spans="1:16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 t="str">
        <f t="shared" si="6"/>
        <v/>
      </c>
      <c r="M127" s="22"/>
      <c r="N127" s="23" t="str">
        <f t="shared" si="7"/>
        <v/>
      </c>
      <c r="O127" s="22"/>
      <c r="P127" s="22"/>
    </row>
    <row r="128" spans="1:16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 t="str">
        <f t="shared" si="6"/>
        <v/>
      </c>
      <c r="M128" s="22"/>
      <c r="N128" s="23" t="str">
        <f t="shared" si="7"/>
        <v/>
      </c>
      <c r="O128" s="22"/>
      <c r="P128" s="22"/>
    </row>
    <row r="129" spans="1:16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 t="str">
        <f t="shared" si="6"/>
        <v/>
      </c>
      <c r="M129" s="22"/>
      <c r="N129" s="23" t="str">
        <f t="shared" si="7"/>
        <v/>
      </c>
      <c r="O129" s="22"/>
      <c r="P129" s="22"/>
    </row>
    <row r="130" spans="1:16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 t="str">
        <f t="shared" ref="L130:L161" si="8">IF(COUNT(I130:K130)=3,(I130+4*J130+K130)/6,"")</f>
        <v/>
      </c>
      <c r="M130" s="22"/>
      <c r="N130" s="23" t="str">
        <f t="shared" ref="N130:N161" si="9">IF(AND(ISNUMBER(M130),ISNUMBER(L130)),M130-L130,"")</f>
        <v/>
      </c>
      <c r="O130" s="22"/>
      <c r="P130" s="22"/>
    </row>
    <row r="131" spans="1:16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 t="str">
        <f t="shared" si="8"/>
        <v/>
      </c>
      <c r="M131" s="22"/>
      <c r="N131" s="23" t="str">
        <f t="shared" si="9"/>
        <v/>
      </c>
      <c r="O131" s="22"/>
      <c r="P131" s="22"/>
    </row>
    <row r="132" spans="1:16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 t="str">
        <f t="shared" si="8"/>
        <v/>
      </c>
      <c r="M132" s="22"/>
      <c r="N132" s="23" t="str">
        <f t="shared" si="9"/>
        <v/>
      </c>
      <c r="O132" s="22"/>
      <c r="P132" s="22"/>
    </row>
    <row r="133" spans="1:16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 t="str">
        <f t="shared" si="8"/>
        <v/>
      </c>
      <c r="M133" s="22"/>
      <c r="N133" s="23" t="str">
        <f t="shared" si="9"/>
        <v/>
      </c>
      <c r="O133" s="22"/>
      <c r="P133" s="22"/>
    </row>
    <row r="134" spans="1:16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 t="str">
        <f t="shared" si="8"/>
        <v/>
      </c>
      <c r="M134" s="22"/>
      <c r="N134" s="23" t="str">
        <f t="shared" si="9"/>
        <v/>
      </c>
      <c r="O134" s="22"/>
      <c r="P134" s="22"/>
    </row>
    <row r="135" spans="1:16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 t="str">
        <f t="shared" si="8"/>
        <v/>
      </c>
      <c r="M135" s="22"/>
      <c r="N135" s="23" t="str">
        <f t="shared" si="9"/>
        <v/>
      </c>
      <c r="O135" s="22"/>
      <c r="P135" s="22"/>
    </row>
    <row r="136" spans="1:16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 t="str">
        <f t="shared" si="8"/>
        <v/>
      </c>
      <c r="M136" s="22"/>
      <c r="N136" s="23" t="str">
        <f t="shared" si="9"/>
        <v/>
      </c>
      <c r="O136" s="22"/>
      <c r="P136" s="22"/>
    </row>
    <row r="137" spans="1:16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 t="str">
        <f t="shared" si="8"/>
        <v/>
      </c>
      <c r="M137" s="22"/>
      <c r="N137" s="23" t="str">
        <f t="shared" si="9"/>
        <v/>
      </c>
      <c r="O137" s="22"/>
      <c r="P137" s="22"/>
    </row>
    <row r="138" spans="1:16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 t="str">
        <f t="shared" si="8"/>
        <v/>
      </c>
      <c r="M138" s="22"/>
      <c r="N138" s="23" t="str">
        <f t="shared" si="9"/>
        <v/>
      </c>
      <c r="O138" s="22"/>
      <c r="P138" s="22"/>
    </row>
    <row r="139" spans="1:16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 t="str">
        <f t="shared" si="8"/>
        <v/>
      </c>
      <c r="M139" s="22"/>
      <c r="N139" s="23" t="str">
        <f t="shared" si="9"/>
        <v/>
      </c>
      <c r="O139" s="22"/>
      <c r="P139" s="22"/>
    </row>
    <row r="140" spans="1:16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 t="str">
        <f t="shared" si="8"/>
        <v/>
      </c>
      <c r="M140" s="22"/>
      <c r="N140" s="23" t="str">
        <f t="shared" si="9"/>
        <v/>
      </c>
      <c r="O140" s="22"/>
      <c r="P140" s="22"/>
    </row>
    <row r="141" spans="1:16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 t="str">
        <f t="shared" si="8"/>
        <v/>
      </c>
      <c r="M141" s="22"/>
      <c r="N141" s="23" t="str">
        <f t="shared" si="9"/>
        <v/>
      </c>
      <c r="O141" s="22"/>
      <c r="P141" s="22"/>
    </row>
    <row r="142" spans="1:16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 t="str">
        <f t="shared" si="8"/>
        <v/>
      </c>
      <c r="M142" s="22"/>
      <c r="N142" s="23" t="str">
        <f t="shared" si="9"/>
        <v/>
      </c>
      <c r="O142" s="22"/>
      <c r="P142" s="22"/>
    </row>
    <row r="143" spans="1:16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 t="str">
        <f t="shared" si="8"/>
        <v/>
      </c>
      <c r="M143" s="22"/>
      <c r="N143" s="23" t="str">
        <f t="shared" si="9"/>
        <v/>
      </c>
      <c r="O143" s="22"/>
      <c r="P143" s="22"/>
    </row>
    <row r="144" spans="1:16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 t="str">
        <f t="shared" si="8"/>
        <v/>
      </c>
      <c r="M144" s="22"/>
      <c r="N144" s="23" t="str">
        <f t="shared" si="9"/>
        <v/>
      </c>
      <c r="O144" s="22"/>
      <c r="P144" s="22"/>
    </row>
    <row r="145" spans="1:16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 t="str">
        <f t="shared" si="8"/>
        <v/>
      </c>
      <c r="M145" s="22"/>
      <c r="N145" s="23" t="str">
        <f t="shared" si="9"/>
        <v/>
      </c>
      <c r="O145" s="22"/>
      <c r="P145" s="22"/>
    </row>
    <row r="146" spans="1:16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 t="str">
        <f t="shared" si="8"/>
        <v/>
      </c>
      <c r="M146" s="22"/>
      <c r="N146" s="23" t="str">
        <f t="shared" si="9"/>
        <v/>
      </c>
      <c r="O146" s="22"/>
      <c r="P146" s="22"/>
    </row>
    <row r="147" spans="1:16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 t="str">
        <f t="shared" si="8"/>
        <v/>
      </c>
      <c r="M147" s="22"/>
      <c r="N147" s="23" t="str">
        <f t="shared" si="9"/>
        <v/>
      </c>
      <c r="O147" s="22"/>
      <c r="P147" s="22"/>
    </row>
    <row r="148" spans="1:16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 t="str">
        <f t="shared" si="8"/>
        <v/>
      </c>
      <c r="M148" s="22"/>
      <c r="N148" s="23" t="str">
        <f t="shared" si="9"/>
        <v/>
      </c>
      <c r="O148" s="22"/>
      <c r="P148" s="22"/>
    </row>
    <row r="149" spans="1:16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 t="str">
        <f t="shared" si="8"/>
        <v/>
      </c>
      <c r="M149" s="22"/>
      <c r="N149" s="23" t="str">
        <f t="shared" si="9"/>
        <v/>
      </c>
      <c r="O149" s="22"/>
      <c r="P149" s="22"/>
    </row>
    <row r="150" spans="1:16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 t="str">
        <f t="shared" si="8"/>
        <v/>
      </c>
      <c r="M150" s="22"/>
      <c r="N150" s="23" t="str">
        <f t="shared" si="9"/>
        <v/>
      </c>
      <c r="O150" s="22"/>
      <c r="P150" s="22"/>
    </row>
    <row r="151" spans="1:16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 t="str">
        <f t="shared" si="8"/>
        <v/>
      </c>
      <c r="M151" s="22"/>
      <c r="N151" s="23" t="str">
        <f t="shared" si="9"/>
        <v/>
      </c>
      <c r="O151" s="22"/>
      <c r="P151" s="22"/>
    </row>
    <row r="152" spans="1:16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 t="str">
        <f t="shared" si="8"/>
        <v/>
      </c>
      <c r="M152" s="22"/>
      <c r="N152" s="23" t="str">
        <f t="shared" si="9"/>
        <v/>
      </c>
      <c r="O152" s="22"/>
      <c r="P152" s="22"/>
    </row>
    <row r="153" spans="1:16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 t="str">
        <f t="shared" si="8"/>
        <v/>
      </c>
      <c r="M153" s="22"/>
      <c r="N153" s="23" t="str">
        <f t="shared" si="9"/>
        <v/>
      </c>
      <c r="O153" s="22"/>
      <c r="P153" s="22"/>
    </row>
    <row r="154" spans="1:16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 t="str">
        <f t="shared" si="8"/>
        <v/>
      </c>
      <c r="M154" s="22"/>
      <c r="N154" s="23" t="str">
        <f t="shared" si="9"/>
        <v/>
      </c>
      <c r="O154" s="22"/>
      <c r="P154" s="22"/>
    </row>
    <row r="155" spans="1:16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 t="str">
        <f t="shared" si="8"/>
        <v/>
      </c>
      <c r="M155" s="22"/>
      <c r="N155" s="23" t="str">
        <f t="shared" si="9"/>
        <v/>
      </c>
      <c r="O155" s="22"/>
      <c r="P155" s="22"/>
    </row>
    <row r="156" spans="1:16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 t="str">
        <f t="shared" si="8"/>
        <v/>
      </c>
      <c r="M156" s="22"/>
      <c r="N156" s="23" t="str">
        <f t="shared" si="9"/>
        <v/>
      </c>
      <c r="O156" s="22"/>
      <c r="P156" s="22"/>
    </row>
    <row r="157" spans="1:16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 t="str">
        <f t="shared" si="8"/>
        <v/>
      </c>
      <c r="M157" s="22"/>
      <c r="N157" s="23" t="str">
        <f t="shared" si="9"/>
        <v/>
      </c>
      <c r="O157" s="22"/>
      <c r="P157" s="22"/>
    </row>
    <row r="158" spans="1:16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 t="str">
        <f t="shared" si="8"/>
        <v/>
      </c>
      <c r="M158" s="22"/>
      <c r="N158" s="23" t="str">
        <f t="shared" si="9"/>
        <v/>
      </c>
      <c r="O158" s="22"/>
      <c r="P158" s="22"/>
    </row>
    <row r="159" spans="1:16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 t="str">
        <f t="shared" si="8"/>
        <v/>
      </c>
      <c r="M159" s="22"/>
      <c r="N159" s="23" t="str">
        <f t="shared" si="9"/>
        <v/>
      </c>
      <c r="O159" s="22"/>
      <c r="P159" s="22"/>
    </row>
    <row r="160" spans="1:16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 t="str">
        <f t="shared" si="8"/>
        <v/>
      </c>
      <c r="M160" s="22"/>
      <c r="N160" s="23" t="str">
        <f t="shared" si="9"/>
        <v/>
      </c>
      <c r="O160" s="22"/>
      <c r="P160" s="22"/>
    </row>
    <row r="161" spans="1:16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 t="str">
        <f t="shared" si="8"/>
        <v/>
      </c>
      <c r="M161" s="22"/>
      <c r="N161" s="23" t="str">
        <f t="shared" si="9"/>
        <v/>
      </c>
      <c r="O161" s="22"/>
      <c r="P161" s="22"/>
    </row>
    <row r="162" spans="1:16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 t="str">
        <f t="shared" ref="L162:L193" si="10">IF(COUNT(I162:K162)=3,(I162+4*J162+K162)/6,"")</f>
        <v/>
      </c>
      <c r="M162" s="22"/>
      <c r="N162" s="23" t="str">
        <f t="shared" ref="N162:N193" si="11">IF(AND(ISNUMBER(M162),ISNUMBER(L162)),M162-L162,"")</f>
        <v/>
      </c>
      <c r="O162" s="22"/>
      <c r="P162" s="22"/>
    </row>
    <row r="163" spans="1:16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 t="str">
        <f t="shared" si="10"/>
        <v/>
      </c>
      <c r="M163" s="22"/>
      <c r="N163" s="23" t="str">
        <f t="shared" si="11"/>
        <v/>
      </c>
      <c r="O163" s="22"/>
      <c r="P163" s="22"/>
    </row>
    <row r="164" spans="1:16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 t="str">
        <f t="shared" si="10"/>
        <v/>
      </c>
      <c r="M164" s="22"/>
      <c r="N164" s="23" t="str">
        <f t="shared" si="11"/>
        <v/>
      </c>
      <c r="O164" s="22"/>
      <c r="P164" s="22"/>
    </row>
    <row r="165" spans="1:16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 t="str">
        <f t="shared" si="10"/>
        <v/>
      </c>
      <c r="M165" s="22"/>
      <c r="N165" s="23" t="str">
        <f t="shared" si="11"/>
        <v/>
      </c>
      <c r="O165" s="22"/>
      <c r="P165" s="22"/>
    </row>
    <row r="166" spans="1:16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 t="str">
        <f t="shared" si="10"/>
        <v/>
      </c>
      <c r="M166" s="22"/>
      <c r="N166" s="23" t="str">
        <f t="shared" si="11"/>
        <v/>
      </c>
      <c r="O166" s="22"/>
      <c r="P166" s="22"/>
    </row>
    <row r="167" spans="1:16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 t="str">
        <f t="shared" si="10"/>
        <v/>
      </c>
      <c r="M167" s="22"/>
      <c r="N167" s="23" t="str">
        <f t="shared" si="11"/>
        <v/>
      </c>
      <c r="O167" s="22"/>
      <c r="P167" s="22"/>
    </row>
    <row r="168" spans="1:16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 t="str">
        <f t="shared" si="10"/>
        <v/>
      </c>
      <c r="M168" s="22"/>
      <c r="N168" s="23" t="str">
        <f t="shared" si="11"/>
        <v/>
      </c>
      <c r="O168" s="22"/>
      <c r="P168" s="22"/>
    </row>
    <row r="169" spans="1:16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 t="str">
        <f t="shared" si="10"/>
        <v/>
      </c>
      <c r="M169" s="22"/>
      <c r="N169" s="23" t="str">
        <f t="shared" si="11"/>
        <v/>
      </c>
      <c r="O169" s="22"/>
      <c r="P169" s="22"/>
    </row>
    <row r="170" spans="1:16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 t="str">
        <f t="shared" si="10"/>
        <v/>
      </c>
      <c r="M170" s="22"/>
      <c r="N170" s="23" t="str">
        <f t="shared" si="11"/>
        <v/>
      </c>
      <c r="O170" s="22"/>
      <c r="P170" s="22"/>
    </row>
    <row r="171" spans="1:16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 t="str">
        <f t="shared" si="10"/>
        <v/>
      </c>
      <c r="M171" s="22"/>
      <c r="N171" s="23" t="str">
        <f t="shared" si="11"/>
        <v/>
      </c>
      <c r="O171" s="22"/>
      <c r="P171" s="22"/>
    </row>
    <row r="172" spans="1:16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 t="str">
        <f t="shared" si="10"/>
        <v/>
      </c>
      <c r="M172" s="22"/>
      <c r="N172" s="23" t="str">
        <f t="shared" si="11"/>
        <v/>
      </c>
      <c r="O172" s="22"/>
      <c r="P172" s="22"/>
    </row>
    <row r="173" spans="1:16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 t="str">
        <f t="shared" si="10"/>
        <v/>
      </c>
      <c r="M173" s="22"/>
      <c r="N173" s="23" t="str">
        <f t="shared" si="11"/>
        <v/>
      </c>
      <c r="O173" s="22"/>
      <c r="P173" s="22"/>
    </row>
    <row r="174" spans="1:16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 t="str">
        <f t="shared" si="10"/>
        <v/>
      </c>
      <c r="M174" s="22"/>
      <c r="N174" s="23" t="str">
        <f t="shared" si="11"/>
        <v/>
      </c>
      <c r="O174" s="22"/>
      <c r="P174" s="22"/>
    </row>
    <row r="175" spans="1:16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 t="str">
        <f t="shared" si="10"/>
        <v/>
      </c>
      <c r="M175" s="22"/>
      <c r="N175" s="23" t="str">
        <f t="shared" si="11"/>
        <v/>
      </c>
      <c r="O175" s="22"/>
      <c r="P175" s="22"/>
    </row>
    <row r="176" spans="1:16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 t="str">
        <f t="shared" si="10"/>
        <v/>
      </c>
      <c r="M176" s="22"/>
      <c r="N176" s="23" t="str">
        <f t="shared" si="11"/>
        <v/>
      </c>
      <c r="O176" s="22"/>
      <c r="P176" s="22"/>
    </row>
    <row r="177" spans="1:16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 t="str">
        <f t="shared" si="10"/>
        <v/>
      </c>
      <c r="M177" s="22"/>
      <c r="N177" s="23" t="str">
        <f t="shared" si="11"/>
        <v/>
      </c>
      <c r="O177" s="22"/>
      <c r="P177" s="22"/>
    </row>
    <row r="178" spans="1:16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 t="str">
        <f t="shared" si="10"/>
        <v/>
      </c>
      <c r="M178" s="22"/>
      <c r="N178" s="23" t="str">
        <f t="shared" si="11"/>
        <v/>
      </c>
      <c r="O178" s="22"/>
      <c r="P178" s="22"/>
    </row>
    <row r="179" spans="1:16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 t="str">
        <f t="shared" si="10"/>
        <v/>
      </c>
      <c r="M179" s="22"/>
      <c r="N179" s="23" t="str">
        <f t="shared" si="11"/>
        <v/>
      </c>
      <c r="O179" s="22"/>
      <c r="P179" s="22"/>
    </row>
    <row r="180" spans="1:16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 t="str">
        <f t="shared" si="10"/>
        <v/>
      </c>
      <c r="M180" s="22"/>
      <c r="N180" s="23" t="str">
        <f t="shared" si="11"/>
        <v/>
      </c>
      <c r="O180" s="22"/>
      <c r="P180" s="22"/>
    </row>
    <row r="181" spans="1:16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 t="str">
        <f t="shared" si="10"/>
        <v/>
      </c>
      <c r="M181" s="22"/>
      <c r="N181" s="23" t="str">
        <f t="shared" si="11"/>
        <v/>
      </c>
      <c r="O181" s="22"/>
      <c r="P181" s="22"/>
    </row>
    <row r="182" spans="1:16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 t="str">
        <f t="shared" si="10"/>
        <v/>
      </c>
      <c r="M182" s="22"/>
      <c r="N182" s="23" t="str">
        <f t="shared" si="11"/>
        <v/>
      </c>
      <c r="O182" s="22"/>
      <c r="P182" s="22"/>
    </row>
    <row r="183" spans="1:16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 t="str">
        <f t="shared" si="10"/>
        <v/>
      </c>
      <c r="M183" s="22"/>
      <c r="N183" s="23" t="str">
        <f t="shared" si="11"/>
        <v/>
      </c>
      <c r="O183" s="22"/>
      <c r="P183" s="22"/>
    </row>
    <row r="184" spans="1:16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 t="str">
        <f t="shared" si="10"/>
        <v/>
      </c>
      <c r="M184" s="22"/>
      <c r="N184" s="23" t="str">
        <f t="shared" si="11"/>
        <v/>
      </c>
      <c r="O184" s="22"/>
      <c r="P184" s="22"/>
    </row>
    <row r="185" spans="1:16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 t="str">
        <f t="shared" si="10"/>
        <v/>
      </c>
      <c r="M185" s="22"/>
      <c r="N185" s="23" t="str">
        <f t="shared" si="11"/>
        <v/>
      </c>
      <c r="O185" s="22"/>
      <c r="P185" s="22"/>
    </row>
    <row r="186" spans="1:16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 t="str">
        <f t="shared" si="10"/>
        <v/>
      </c>
      <c r="M186" s="22"/>
      <c r="N186" s="23" t="str">
        <f t="shared" si="11"/>
        <v/>
      </c>
      <c r="O186" s="22"/>
      <c r="P186" s="22"/>
    </row>
    <row r="187" spans="1:16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 t="str">
        <f t="shared" si="10"/>
        <v/>
      </c>
      <c r="M187" s="22"/>
      <c r="N187" s="23" t="str">
        <f t="shared" si="11"/>
        <v/>
      </c>
      <c r="O187" s="22"/>
      <c r="P187" s="22"/>
    </row>
    <row r="188" spans="1:16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 t="str">
        <f t="shared" si="10"/>
        <v/>
      </c>
      <c r="M188" s="22"/>
      <c r="N188" s="23" t="str">
        <f t="shared" si="11"/>
        <v/>
      </c>
      <c r="O188" s="22"/>
      <c r="P188" s="22"/>
    </row>
    <row r="189" spans="1:16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 t="str">
        <f t="shared" si="10"/>
        <v/>
      </c>
      <c r="M189" s="22"/>
      <c r="N189" s="23" t="str">
        <f t="shared" si="11"/>
        <v/>
      </c>
      <c r="O189" s="22"/>
      <c r="P189" s="22"/>
    </row>
    <row r="190" spans="1:16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 t="str">
        <f t="shared" si="10"/>
        <v/>
      </c>
      <c r="M190" s="22"/>
      <c r="N190" s="23" t="str">
        <f t="shared" si="11"/>
        <v/>
      </c>
      <c r="O190" s="22"/>
      <c r="P190" s="22"/>
    </row>
    <row r="191" spans="1:16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 t="str">
        <f t="shared" si="10"/>
        <v/>
      </c>
      <c r="M191" s="22"/>
      <c r="N191" s="23" t="str">
        <f t="shared" si="11"/>
        <v/>
      </c>
      <c r="O191" s="22"/>
      <c r="P191" s="22"/>
    </row>
    <row r="192" spans="1:16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 t="str">
        <f t="shared" si="10"/>
        <v/>
      </c>
      <c r="M192" s="22"/>
      <c r="N192" s="23" t="str">
        <f t="shared" si="11"/>
        <v/>
      </c>
      <c r="O192" s="22"/>
      <c r="P192" s="22"/>
    </row>
    <row r="193" spans="1:16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 t="str">
        <f t="shared" si="10"/>
        <v/>
      </c>
      <c r="M193" s="22"/>
      <c r="N193" s="23" t="str">
        <f t="shared" si="11"/>
        <v/>
      </c>
      <c r="O193" s="22"/>
      <c r="P193" s="22"/>
    </row>
    <row r="194" spans="1:16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 t="str">
        <f t="shared" ref="L194:L225" si="12">IF(COUNT(I194:K194)=3,(I194+4*J194+K194)/6,"")</f>
        <v/>
      </c>
      <c r="M194" s="22"/>
      <c r="N194" s="23" t="str">
        <f t="shared" ref="N194:N225" si="13">IF(AND(ISNUMBER(M194),ISNUMBER(L194)),M194-L194,"")</f>
        <v/>
      </c>
      <c r="O194" s="22"/>
      <c r="P194" s="22"/>
    </row>
    <row r="195" spans="1:16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 t="str">
        <f t="shared" si="12"/>
        <v/>
      </c>
      <c r="M195" s="22"/>
      <c r="N195" s="23" t="str">
        <f t="shared" si="13"/>
        <v/>
      </c>
      <c r="O195" s="22"/>
      <c r="P195" s="22"/>
    </row>
    <row r="196" spans="1:16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 t="str">
        <f t="shared" si="12"/>
        <v/>
      </c>
      <c r="M196" s="22"/>
      <c r="N196" s="23" t="str">
        <f t="shared" si="13"/>
        <v/>
      </c>
      <c r="O196" s="22"/>
      <c r="P196" s="22"/>
    </row>
    <row r="197" spans="1:16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 t="str">
        <f t="shared" si="12"/>
        <v/>
      </c>
      <c r="M197" s="22"/>
      <c r="N197" s="23" t="str">
        <f t="shared" si="13"/>
        <v/>
      </c>
      <c r="O197" s="22"/>
      <c r="P197" s="22"/>
    </row>
    <row r="198" spans="1:16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 t="str">
        <f t="shared" si="12"/>
        <v/>
      </c>
      <c r="M198" s="22"/>
      <c r="N198" s="23" t="str">
        <f t="shared" si="13"/>
        <v/>
      </c>
      <c r="O198" s="22"/>
      <c r="P198" s="22"/>
    </row>
    <row r="199" spans="1:16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 t="str">
        <f t="shared" si="12"/>
        <v/>
      </c>
      <c r="M199" s="22"/>
      <c r="N199" s="23" t="str">
        <f t="shared" si="13"/>
        <v/>
      </c>
      <c r="O199" s="22"/>
      <c r="P199" s="22"/>
    </row>
    <row r="200" spans="1:16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 t="str">
        <f t="shared" si="12"/>
        <v/>
      </c>
      <c r="M200" s="22"/>
      <c r="N200" s="23" t="str">
        <f t="shared" si="13"/>
        <v/>
      </c>
      <c r="O200" s="22"/>
      <c r="P200" s="22"/>
    </row>
    <row r="201" spans="1:16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 t="str">
        <f t="shared" si="12"/>
        <v/>
      </c>
      <c r="M201" s="22"/>
      <c r="N201" s="23" t="str">
        <f t="shared" si="13"/>
        <v/>
      </c>
      <c r="O201" s="22"/>
      <c r="P201" s="22"/>
    </row>
  </sheetData>
  <dataValidations count="3">
    <dataValidation type="list" allowBlank="1" sqref="F2:F201" xr:uid="{00000000-0002-0000-0300-000000000000}">
      <formula1>"Must,Should,Could,Won't"</formula1>
      <formula2>0</formula2>
    </dataValidation>
    <dataValidation type="list" allowBlank="1" sqref="G2:G201" xr:uid="{00000000-0002-0000-0300-000001000000}">
      <formula1>"Offen,In Arbeit,Erledigt,Gestrichen"</formula1>
      <formula2>0</formula2>
    </dataValidation>
    <dataValidation type="list" allowBlank="1" sqref="H2:H201" xr:uid="{00000000-0002-0000-0300-000002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8" customWidth="1"/>
    <col min="2" max="2" width="10" customWidth="1"/>
    <col min="3" max="3" width="40" customWidth="1"/>
    <col min="4" max="4" width="12" customWidth="1"/>
    <col min="5" max="5" width="14" customWidth="1"/>
    <col min="6" max="6" width="9" customWidth="1"/>
    <col min="7" max="8" width="12" customWidth="1"/>
    <col min="9" max="9" width="11" customWidth="1"/>
    <col min="10" max="10" width="13" customWidth="1"/>
    <col min="11" max="11" width="40" customWidth="1"/>
  </cols>
  <sheetData>
    <row r="1" spans="1:11" ht="31.5" customHeight="1" x14ac:dyDescent="0.3">
      <c r="A1" s="15" t="s">
        <v>79</v>
      </c>
      <c r="B1" s="15" t="s">
        <v>96</v>
      </c>
      <c r="C1" s="15" t="s">
        <v>97</v>
      </c>
      <c r="D1" s="15" t="s">
        <v>98</v>
      </c>
      <c r="E1" s="15" t="s">
        <v>99</v>
      </c>
      <c r="F1" s="15" t="s">
        <v>84</v>
      </c>
      <c r="G1" s="15" t="s">
        <v>100</v>
      </c>
      <c r="H1" s="15" t="s">
        <v>36</v>
      </c>
      <c r="I1" s="15" t="s">
        <v>101</v>
      </c>
      <c r="J1" s="15" t="s">
        <v>102</v>
      </c>
      <c r="K1" s="15" t="s">
        <v>103</v>
      </c>
    </row>
    <row r="2" spans="1:11" x14ac:dyDescent="0.3">
      <c r="A2" s="22">
        <v>1</v>
      </c>
      <c r="B2" s="22" t="s">
        <v>104</v>
      </c>
      <c r="C2" s="22"/>
      <c r="D2" s="24"/>
      <c r="E2" s="25">
        <f>SUMIFS(Backlog!$L:$L,Backlog!$H:$H,A2,Backlog!$G:$G,"&lt;&gt;Gestrichen")</f>
        <v>4.333333333333333</v>
      </c>
      <c r="F2" s="25">
        <f>SUMIFS(Backlog!$M:$M,Backlog!$H:$H,A2)</f>
        <v>6</v>
      </c>
      <c r="G2" s="26">
        <f>COUNTIFS(Backlog!$H:$H,A2,Backlog!$G:$G,"&lt;&gt;Gestrichen")</f>
        <v>1</v>
      </c>
      <c r="H2" s="26">
        <f>COUNTIFS(Backlog!$H:$H,A2,Backlog!$G:$G,"Erledigt")</f>
        <v>1</v>
      </c>
      <c r="I2" s="27" t="str">
        <f>IFERROR(E2/D2,"")</f>
        <v/>
      </c>
      <c r="J2" s="22"/>
      <c r="K2" s="22"/>
    </row>
    <row r="3" spans="1:11" ht="26.4" x14ac:dyDescent="0.3">
      <c r="A3" s="22">
        <v>2</v>
      </c>
      <c r="B3" s="22" t="s">
        <v>105</v>
      </c>
      <c r="C3" s="22"/>
      <c r="D3" s="24"/>
      <c r="E3" s="25">
        <f>SUMIFS(Backlog!$L:$L,Backlog!$H:$H,A3,Backlog!$G:$G,"&lt;&gt;Gestrichen")</f>
        <v>0</v>
      </c>
      <c r="F3" s="25">
        <f>SUMIFS(Backlog!$M:$M,Backlog!$H:$H,A3)</f>
        <v>0</v>
      </c>
      <c r="G3" s="26">
        <f>COUNTIFS(Backlog!$H:$H,A3,Backlog!$G:$G,"&lt;&gt;Gestrichen")</f>
        <v>0</v>
      </c>
      <c r="H3" s="26">
        <f>COUNTIFS(Backlog!$H:$H,A3,Backlog!$G:$G,"Erledigt")</f>
        <v>0</v>
      </c>
      <c r="I3" s="27" t="str">
        <f>IFERROR(E3/D3,"")</f>
        <v/>
      </c>
      <c r="J3" s="22"/>
      <c r="K3" s="22"/>
    </row>
    <row r="4" spans="1:11" ht="26.4" x14ac:dyDescent="0.3">
      <c r="A4" s="22">
        <v>3</v>
      </c>
      <c r="B4" s="22" t="s">
        <v>106</v>
      </c>
      <c r="C4" s="22"/>
      <c r="D4" s="24"/>
      <c r="E4" s="25">
        <f>SUMIFS(Backlog!$L:$L,Backlog!$H:$H,A4,Backlog!$G:$G,"&lt;&gt;Gestrichen")</f>
        <v>0</v>
      </c>
      <c r="F4" s="25">
        <f>SUMIFS(Backlog!$M:$M,Backlog!$H:$H,A4)</f>
        <v>0</v>
      </c>
      <c r="G4" s="26">
        <f>COUNTIFS(Backlog!$H:$H,A4,Backlog!$G:$G,"&lt;&gt;Gestrichen")</f>
        <v>0</v>
      </c>
      <c r="H4" s="26">
        <f>COUNTIFS(Backlog!$H:$H,A4,Backlog!$G:$G,"Erledigt")</f>
        <v>0</v>
      </c>
      <c r="I4" s="27" t="str">
        <f>IFERROR(E4/D4,"")</f>
        <v/>
      </c>
      <c r="J4" s="22"/>
      <c r="K4" s="22"/>
    </row>
    <row r="6" spans="1:11" x14ac:dyDescent="0.3">
      <c r="A6" s="7" t="s">
        <v>107</v>
      </c>
    </row>
  </sheetData>
  <dataValidations count="1">
    <dataValidation type="list" allowBlank="1" sqref="J2:J4" xr:uid="{00000000-0002-0000-0400-000000000000}">
      <formula1>"Ja,Teilweise,Nein"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zoomScaleNormal="100" workbookViewId="0"/>
  </sheetViews>
  <sheetFormatPr baseColWidth="10" defaultColWidth="8.6640625" defaultRowHeight="14.4" x14ac:dyDescent="0.3"/>
  <cols>
    <col min="1" max="3" width="10" customWidth="1"/>
    <col min="6" max="8" width="10" customWidth="1"/>
    <col min="11" max="13" width="10" customWidth="1"/>
  </cols>
  <sheetData>
    <row r="1" spans="1:13" ht="15.6" x14ac:dyDescent="0.3">
      <c r="A1" s="10" t="s">
        <v>108</v>
      </c>
      <c r="F1" s="10" t="s">
        <v>109</v>
      </c>
      <c r="K1" s="10" t="s">
        <v>110</v>
      </c>
    </row>
    <row r="2" spans="1:13" x14ac:dyDescent="0.3">
      <c r="A2" s="28" t="s">
        <v>111</v>
      </c>
      <c r="B2" s="29">
        <f>Sprints!E2</f>
        <v>4.333333333333333</v>
      </c>
      <c r="F2" s="28" t="s">
        <v>111</v>
      </c>
      <c r="G2" s="29">
        <f>Sprints!E3</f>
        <v>0</v>
      </c>
      <c r="K2" s="28" t="s">
        <v>111</v>
      </c>
      <c r="L2" s="29">
        <f>Sprints!E4</f>
        <v>0</v>
      </c>
    </row>
    <row r="4" spans="1:13" x14ac:dyDescent="0.3">
      <c r="A4" s="30" t="s">
        <v>112</v>
      </c>
      <c r="B4" s="30" t="s">
        <v>113</v>
      </c>
      <c r="C4" s="30" t="s">
        <v>114</v>
      </c>
      <c r="F4" s="30" t="s">
        <v>112</v>
      </c>
      <c r="G4" s="30" t="s">
        <v>113</v>
      </c>
      <c r="H4" s="30" t="s">
        <v>114</v>
      </c>
      <c r="K4" s="30" t="s">
        <v>112</v>
      </c>
      <c r="L4" s="30" t="s">
        <v>113</v>
      </c>
      <c r="M4" s="30" t="s">
        <v>114</v>
      </c>
    </row>
    <row r="5" spans="1:13" x14ac:dyDescent="0.3">
      <c r="A5" s="31">
        <v>0</v>
      </c>
      <c r="B5" s="32">
        <f t="shared" ref="B5:B19" si="0">$B$2*(1-A5/14)</f>
        <v>4.333333333333333</v>
      </c>
      <c r="C5" s="33"/>
      <c r="F5" s="31">
        <v>0</v>
      </c>
      <c r="G5" s="32">
        <f t="shared" ref="G5:G19" si="1">$G$2*(1-F5/14)</f>
        <v>0</v>
      </c>
      <c r="H5" s="33"/>
      <c r="K5" s="31">
        <v>0</v>
      </c>
      <c r="L5" s="32">
        <f t="shared" ref="L5:L19" si="2">$L$2*(1-K5/14)</f>
        <v>0</v>
      </c>
      <c r="M5" s="33"/>
    </row>
    <row r="6" spans="1:13" x14ac:dyDescent="0.3">
      <c r="A6" s="31">
        <v>1</v>
      </c>
      <c r="B6" s="32">
        <f t="shared" si="0"/>
        <v>4.0238095238095237</v>
      </c>
      <c r="C6" s="33"/>
      <c r="F6" s="31">
        <v>1</v>
      </c>
      <c r="G6" s="32">
        <f t="shared" si="1"/>
        <v>0</v>
      </c>
      <c r="H6" s="33"/>
      <c r="K6" s="31">
        <v>1</v>
      </c>
      <c r="L6" s="32">
        <f t="shared" si="2"/>
        <v>0</v>
      </c>
      <c r="M6" s="33"/>
    </row>
    <row r="7" spans="1:13" x14ac:dyDescent="0.3">
      <c r="A7" s="31">
        <v>2</v>
      </c>
      <c r="B7" s="32">
        <f t="shared" si="0"/>
        <v>3.7142857142857144</v>
      </c>
      <c r="C7" s="33"/>
      <c r="F7" s="31">
        <v>2</v>
      </c>
      <c r="G7" s="32">
        <f t="shared" si="1"/>
        <v>0</v>
      </c>
      <c r="H7" s="33"/>
      <c r="K7" s="31">
        <v>2</v>
      </c>
      <c r="L7" s="32">
        <f t="shared" si="2"/>
        <v>0</v>
      </c>
      <c r="M7" s="33"/>
    </row>
    <row r="8" spans="1:13" x14ac:dyDescent="0.3">
      <c r="A8" s="31">
        <v>3</v>
      </c>
      <c r="B8" s="32">
        <f t="shared" si="0"/>
        <v>3.4047619047619047</v>
      </c>
      <c r="C8" s="33"/>
      <c r="F8" s="31">
        <v>3</v>
      </c>
      <c r="G8" s="32">
        <f t="shared" si="1"/>
        <v>0</v>
      </c>
      <c r="H8" s="33"/>
      <c r="K8" s="31">
        <v>3</v>
      </c>
      <c r="L8" s="32">
        <f t="shared" si="2"/>
        <v>0</v>
      </c>
      <c r="M8" s="33"/>
    </row>
    <row r="9" spans="1:13" x14ac:dyDescent="0.3">
      <c r="A9" s="31">
        <v>4</v>
      </c>
      <c r="B9" s="32">
        <f t="shared" si="0"/>
        <v>3.0952380952380949</v>
      </c>
      <c r="C9" s="33"/>
      <c r="F9" s="31">
        <v>4</v>
      </c>
      <c r="G9" s="32">
        <f t="shared" si="1"/>
        <v>0</v>
      </c>
      <c r="H9" s="33"/>
      <c r="K9" s="31">
        <v>4</v>
      </c>
      <c r="L9" s="32">
        <f t="shared" si="2"/>
        <v>0</v>
      </c>
      <c r="M9" s="33"/>
    </row>
    <row r="10" spans="1:13" x14ac:dyDescent="0.3">
      <c r="A10" s="31">
        <v>5</v>
      </c>
      <c r="B10" s="32">
        <f t="shared" si="0"/>
        <v>2.7857142857142851</v>
      </c>
      <c r="C10" s="33"/>
      <c r="F10" s="31">
        <v>5</v>
      </c>
      <c r="G10" s="32">
        <f t="shared" si="1"/>
        <v>0</v>
      </c>
      <c r="H10" s="33"/>
      <c r="K10" s="31">
        <v>5</v>
      </c>
      <c r="L10" s="32">
        <f t="shared" si="2"/>
        <v>0</v>
      </c>
      <c r="M10" s="33"/>
    </row>
    <row r="11" spans="1:13" x14ac:dyDescent="0.3">
      <c r="A11" s="31">
        <v>6</v>
      </c>
      <c r="B11" s="32">
        <f t="shared" si="0"/>
        <v>2.4761904761904758</v>
      </c>
      <c r="C11" s="33"/>
      <c r="F11" s="31">
        <v>6</v>
      </c>
      <c r="G11" s="32">
        <f t="shared" si="1"/>
        <v>0</v>
      </c>
      <c r="H11" s="33"/>
      <c r="K11" s="31">
        <v>6</v>
      </c>
      <c r="L11" s="32">
        <f t="shared" si="2"/>
        <v>0</v>
      </c>
      <c r="M11" s="33"/>
    </row>
    <row r="12" spans="1:13" x14ac:dyDescent="0.3">
      <c r="A12" s="31">
        <v>7</v>
      </c>
      <c r="B12" s="32">
        <f t="shared" si="0"/>
        <v>2.1666666666666665</v>
      </c>
      <c r="C12" s="33"/>
      <c r="F12" s="31">
        <v>7</v>
      </c>
      <c r="G12" s="32">
        <f t="shared" si="1"/>
        <v>0</v>
      </c>
      <c r="H12" s="33"/>
      <c r="K12" s="31">
        <v>7</v>
      </c>
      <c r="L12" s="32">
        <f t="shared" si="2"/>
        <v>0</v>
      </c>
      <c r="M12" s="33"/>
    </row>
    <row r="13" spans="1:13" x14ac:dyDescent="0.3">
      <c r="A13" s="31">
        <v>8</v>
      </c>
      <c r="B13" s="32">
        <f t="shared" si="0"/>
        <v>1.8571428571428572</v>
      </c>
      <c r="C13" s="33"/>
      <c r="F13" s="31">
        <v>8</v>
      </c>
      <c r="G13" s="32">
        <f t="shared" si="1"/>
        <v>0</v>
      </c>
      <c r="H13" s="33"/>
      <c r="K13" s="31">
        <v>8</v>
      </c>
      <c r="L13" s="32">
        <f t="shared" si="2"/>
        <v>0</v>
      </c>
      <c r="M13" s="33"/>
    </row>
    <row r="14" spans="1:13" x14ac:dyDescent="0.3">
      <c r="A14" s="31">
        <v>9</v>
      </c>
      <c r="B14" s="32">
        <f t="shared" si="0"/>
        <v>1.5476190476190472</v>
      </c>
      <c r="C14" s="33"/>
      <c r="F14" s="31">
        <v>9</v>
      </c>
      <c r="G14" s="32">
        <f t="shared" si="1"/>
        <v>0</v>
      </c>
      <c r="H14" s="33"/>
      <c r="K14" s="31">
        <v>9</v>
      </c>
      <c r="L14" s="32">
        <f t="shared" si="2"/>
        <v>0</v>
      </c>
      <c r="M14" s="33"/>
    </row>
    <row r="15" spans="1:13" x14ac:dyDescent="0.3">
      <c r="A15" s="31">
        <v>10</v>
      </c>
      <c r="B15" s="32">
        <f t="shared" si="0"/>
        <v>1.2380952380952379</v>
      </c>
      <c r="C15" s="33"/>
      <c r="F15" s="31">
        <v>10</v>
      </c>
      <c r="G15" s="32">
        <f t="shared" si="1"/>
        <v>0</v>
      </c>
      <c r="H15" s="33"/>
      <c r="K15" s="31">
        <v>10</v>
      </c>
      <c r="L15" s="32">
        <f t="shared" si="2"/>
        <v>0</v>
      </c>
      <c r="M15" s="33"/>
    </row>
    <row r="16" spans="1:13" x14ac:dyDescent="0.3">
      <c r="A16" s="31">
        <v>11</v>
      </c>
      <c r="B16" s="32">
        <f t="shared" si="0"/>
        <v>0.9285714285714286</v>
      </c>
      <c r="C16" s="33"/>
      <c r="F16" s="31">
        <v>11</v>
      </c>
      <c r="G16" s="32">
        <f t="shared" si="1"/>
        <v>0</v>
      </c>
      <c r="H16" s="33"/>
      <c r="K16" s="31">
        <v>11</v>
      </c>
      <c r="L16" s="32">
        <f t="shared" si="2"/>
        <v>0</v>
      </c>
      <c r="M16" s="33"/>
    </row>
    <row r="17" spans="1:13" x14ac:dyDescent="0.3">
      <c r="A17" s="31">
        <v>12</v>
      </c>
      <c r="B17" s="32">
        <f t="shared" si="0"/>
        <v>0.61904761904761918</v>
      </c>
      <c r="C17" s="33"/>
      <c r="F17" s="31">
        <v>12</v>
      </c>
      <c r="G17" s="32">
        <f t="shared" si="1"/>
        <v>0</v>
      </c>
      <c r="H17" s="33"/>
      <c r="K17" s="31">
        <v>12</v>
      </c>
      <c r="L17" s="32">
        <f t="shared" si="2"/>
        <v>0</v>
      </c>
      <c r="M17" s="33"/>
    </row>
    <row r="18" spans="1:13" x14ac:dyDescent="0.3">
      <c r="A18" s="31">
        <v>13</v>
      </c>
      <c r="B18" s="32">
        <f t="shared" si="0"/>
        <v>0.30952380952380937</v>
      </c>
      <c r="C18" s="33"/>
      <c r="F18" s="31">
        <v>13</v>
      </c>
      <c r="G18" s="32">
        <f t="shared" si="1"/>
        <v>0</v>
      </c>
      <c r="H18" s="33"/>
      <c r="K18" s="31">
        <v>13</v>
      </c>
      <c r="L18" s="32">
        <f t="shared" si="2"/>
        <v>0</v>
      </c>
      <c r="M18" s="33"/>
    </row>
    <row r="19" spans="1:13" x14ac:dyDescent="0.3">
      <c r="A19" s="31">
        <v>14</v>
      </c>
      <c r="B19" s="32">
        <f t="shared" si="0"/>
        <v>0</v>
      </c>
      <c r="C19" s="33"/>
      <c r="F19" s="31">
        <v>14</v>
      </c>
      <c r="G19" s="32">
        <f t="shared" si="1"/>
        <v>0</v>
      </c>
      <c r="H19" s="33"/>
      <c r="K19" s="31">
        <v>14</v>
      </c>
      <c r="L19" s="32">
        <f t="shared" si="2"/>
        <v>0</v>
      </c>
      <c r="M19" s="33"/>
    </row>
    <row r="38" spans="1:1" x14ac:dyDescent="0.3">
      <c r="A38" s="7" t="s">
        <v>115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38" customWidth="1"/>
    <col min="3" max="3" width="14" customWidth="1"/>
    <col min="4" max="5" width="11" customWidth="1"/>
    <col min="6" max="6" width="10" customWidth="1"/>
    <col min="7" max="7" width="9" customWidth="1"/>
    <col min="8" max="8" width="13" customWidth="1"/>
    <col min="9" max="9" width="38" customWidth="1"/>
    <col min="10" max="10" width="12" customWidth="1"/>
    <col min="11" max="11" width="11" customWidth="1"/>
    <col min="12" max="12" width="24" customWidth="1"/>
  </cols>
  <sheetData>
    <row r="1" spans="1:12" ht="31.5" customHeight="1" x14ac:dyDescent="0.3">
      <c r="A1" s="15" t="s">
        <v>72</v>
      </c>
      <c r="B1" s="15" t="s">
        <v>116</v>
      </c>
      <c r="C1" s="15" t="s">
        <v>117</v>
      </c>
      <c r="D1" s="15" t="s">
        <v>118</v>
      </c>
      <c r="E1" s="15" t="s">
        <v>119</v>
      </c>
      <c r="F1" s="15" t="s">
        <v>120</v>
      </c>
      <c r="G1" s="15" t="s">
        <v>121</v>
      </c>
      <c r="H1" s="15" t="s">
        <v>122</v>
      </c>
      <c r="I1" s="15" t="s">
        <v>123</v>
      </c>
      <c r="J1" s="15" t="s">
        <v>78</v>
      </c>
      <c r="K1" s="15" t="s">
        <v>124</v>
      </c>
      <c r="L1" s="15" t="s">
        <v>125</v>
      </c>
    </row>
    <row r="2" spans="1:12" ht="26.4" x14ac:dyDescent="0.3">
      <c r="A2" s="19" t="s">
        <v>88</v>
      </c>
      <c r="B2" s="19" t="s">
        <v>126</v>
      </c>
      <c r="C2" s="19" t="s">
        <v>34</v>
      </c>
      <c r="D2" s="19">
        <v>4</v>
      </c>
      <c r="E2" s="19">
        <v>4</v>
      </c>
      <c r="F2" s="34">
        <f t="shared" ref="F2:F33" si="0">IF(AND(ISNUMBER(D2),ISNUMBER(E2)),D2*E2,"")</f>
        <v>16</v>
      </c>
      <c r="G2" s="34" t="str">
        <f t="shared" ref="G2:G33" si="1">IF(F2="","",IF(F2&gt;=15,"hoch",IF(F2&gt;=8,"mittel","niedrig")))</f>
        <v>hoch</v>
      </c>
      <c r="H2" s="19" t="s">
        <v>127</v>
      </c>
      <c r="I2" s="19" t="s">
        <v>128</v>
      </c>
      <c r="J2" s="19" t="s">
        <v>129</v>
      </c>
      <c r="K2" s="19" t="s">
        <v>130</v>
      </c>
      <c r="L2" s="19"/>
    </row>
    <row r="3" spans="1:12" x14ac:dyDescent="0.3">
      <c r="A3" s="22"/>
      <c r="B3" s="22"/>
      <c r="C3" s="22"/>
      <c r="D3" s="22"/>
      <c r="E3" s="22"/>
      <c r="F3" s="34" t="str">
        <f t="shared" si="0"/>
        <v/>
      </c>
      <c r="G3" s="34" t="str">
        <f t="shared" si="1"/>
        <v/>
      </c>
      <c r="H3" s="22"/>
      <c r="I3" s="22"/>
      <c r="J3" s="22"/>
      <c r="K3" s="22"/>
      <c r="L3" s="22"/>
    </row>
    <row r="4" spans="1:12" x14ac:dyDescent="0.3">
      <c r="A4" s="22"/>
      <c r="B4" s="22"/>
      <c r="C4" s="22"/>
      <c r="D4" s="22"/>
      <c r="E4" s="22"/>
      <c r="F4" s="34" t="str">
        <f t="shared" si="0"/>
        <v/>
      </c>
      <c r="G4" s="34" t="str">
        <f t="shared" si="1"/>
        <v/>
      </c>
      <c r="H4" s="22"/>
      <c r="I4" s="22"/>
      <c r="J4" s="22"/>
      <c r="K4" s="22"/>
      <c r="L4" s="22"/>
    </row>
    <row r="5" spans="1:12" x14ac:dyDescent="0.3">
      <c r="A5" s="22"/>
      <c r="B5" s="22"/>
      <c r="C5" s="22"/>
      <c r="D5" s="22"/>
      <c r="E5" s="22"/>
      <c r="F5" s="34" t="str">
        <f t="shared" si="0"/>
        <v/>
      </c>
      <c r="G5" s="34" t="str">
        <f t="shared" si="1"/>
        <v/>
      </c>
      <c r="H5" s="22"/>
      <c r="I5" s="22"/>
      <c r="J5" s="22"/>
      <c r="K5" s="22"/>
      <c r="L5" s="22"/>
    </row>
    <row r="6" spans="1:12" x14ac:dyDescent="0.3">
      <c r="A6" s="22"/>
      <c r="B6" s="22"/>
      <c r="C6" s="22"/>
      <c r="D6" s="22"/>
      <c r="E6" s="22"/>
      <c r="F6" s="34" t="str">
        <f t="shared" si="0"/>
        <v/>
      </c>
      <c r="G6" s="34" t="str">
        <f t="shared" si="1"/>
        <v/>
      </c>
      <c r="H6" s="22"/>
      <c r="I6" s="22"/>
      <c r="J6" s="22"/>
      <c r="K6" s="22"/>
      <c r="L6" s="22"/>
    </row>
    <row r="7" spans="1:12" x14ac:dyDescent="0.3">
      <c r="A7" s="22"/>
      <c r="B7" s="22"/>
      <c r="C7" s="22"/>
      <c r="D7" s="22"/>
      <c r="E7" s="22"/>
      <c r="F7" s="34" t="str">
        <f t="shared" si="0"/>
        <v/>
      </c>
      <c r="G7" s="34" t="str">
        <f t="shared" si="1"/>
        <v/>
      </c>
      <c r="H7" s="22"/>
      <c r="I7" s="22"/>
      <c r="J7" s="22"/>
      <c r="K7" s="22"/>
      <c r="L7" s="22"/>
    </row>
    <row r="8" spans="1:12" x14ac:dyDescent="0.3">
      <c r="A8" s="22"/>
      <c r="B8" s="22"/>
      <c r="C8" s="22"/>
      <c r="D8" s="22"/>
      <c r="E8" s="22"/>
      <c r="F8" s="34" t="str">
        <f t="shared" si="0"/>
        <v/>
      </c>
      <c r="G8" s="34" t="str">
        <f t="shared" si="1"/>
        <v/>
      </c>
      <c r="H8" s="22"/>
      <c r="I8" s="22"/>
      <c r="J8" s="22"/>
      <c r="K8" s="22"/>
      <c r="L8" s="22"/>
    </row>
    <row r="9" spans="1:12" x14ac:dyDescent="0.3">
      <c r="A9" s="22"/>
      <c r="B9" s="22"/>
      <c r="C9" s="22"/>
      <c r="D9" s="22"/>
      <c r="E9" s="22"/>
      <c r="F9" s="34" t="str">
        <f t="shared" si="0"/>
        <v/>
      </c>
      <c r="G9" s="34" t="str">
        <f t="shared" si="1"/>
        <v/>
      </c>
      <c r="H9" s="22"/>
      <c r="I9" s="22"/>
      <c r="J9" s="22"/>
      <c r="K9" s="22"/>
      <c r="L9" s="22"/>
    </row>
    <row r="10" spans="1:12" x14ac:dyDescent="0.3">
      <c r="A10" s="22"/>
      <c r="B10" s="22"/>
      <c r="C10" s="22"/>
      <c r="D10" s="22"/>
      <c r="E10" s="22"/>
      <c r="F10" s="34" t="str">
        <f t="shared" si="0"/>
        <v/>
      </c>
      <c r="G10" s="34" t="str">
        <f t="shared" si="1"/>
        <v/>
      </c>
      <c r="H10" s="22"/>
      <c r="I10" s="22"/>
      <c r="J10" s="22"/>
      <c r="K10" s="22"/>
      <c r="L10" s="22"/>
    </row>
    <row r="11" spans="1:12" x14ac:dyDescent="0.3">
      <c r="A11" s="22"/>
      <c r="B11" s="22"/>
      <c r="C11" s="22"/>
      <c r="D11" s="22"/>
      <c r="E11" s="22"/>
      <c r="F11" s="34" t="str">
        <f t="shared" si="0"/>
        <v/>
      </c>
      <c r="G11" s="34" t="str">
        <f t="shared" si="1"/>
        <v/>
      </c>
      <c r="H11" s="22"/>
      <c r="I11" s="22"/>
      <c r="J11" s="22"/>
      <c r="K11" s="22"/>
      <c r="L11" s="22"/>
    </row>
    <row r="12" spans="1:12" x14ac:dyDescent="0.3">
      <c r="A12" s="22"/>
      <c r="B12" s="22"/>
      <c r="C12" s="22"/>
      <c r="D12" s="22"/>
      <c r="E12" s="22"/>
      <c r="F12" s="34" t="str">
        <f t="shared" si="0"/>
        <v/>
      </c>
      <c r="G12" s="34" t="str">
        <f t="shared" si="1"/>
        <v/>
      </c>
      <c r="H12" s="22"/>
      <c r="I12" s="22"/>
      <c r="J12" s="22"/>
      <c r="K12" s="22"/>
      <c r="L12" s="22"/>
    </row>
    <row r="13" spans="1:12" x14ac:dyDescent="0.3">
      <c r="A13" s="22"/>
      <c r="B13" s="22"/>
      <c r="C13" s="22"/>
      <c r="D13" s="22"/>
      <c r="E13" s="22"/>
      <c r="F13" s="34" t="str">
        <f t="shared" si="0"/>
        <v/>
      </c>
      <c r="G13" s="34" t="str">
        <f t="shared" si="1"/>
        <v/>
      </c>
      <c r="H13" s="22"/>
      <c r="I13" s="22"/>
      <c r="J13" s="22"/>
      <c r="K13" s="22"/>
      <c r="L13" s="22"/>
    </row>
    <row r="14" spans="1:12" x14ac:dyDescent="0.3">
      <c r="A14" s="22"/>
      <c r="B14" s="22"/>
      <c r="C14" s="22"/>
      <c r="D14" s="22"/>
      <c r="E14" s="22"/>
      <c r="F14" s="34" t="str">
        <f t="shared" si="0"/>
        <v/>
      </c>
      <c r="G14" s="34" t="str">
        <f t="shared" si="1"/>
        <v/>
      </c>
      <c r="H14" s="22"/>
      <c r="I14" s="22"/>
      <c r="J14" s="22"/>
      <c r="K14" s="22"/>
      <c r="L14" s="22"/>
    </row>
    <row r="15" spans="1:12" x14ac:dyDescent="0.3">
      <c r="A15" s="22"/>
      <c r="B15" s="22"/>
      <c r="C15" s="22"/>
      <c r="D15" s="22"/>
      <c r="E15" s="22"/>
      <c r="F15" s="34" t="str">
        <f t="shared" si="0"/>
        <v/>
      </c>
      <c r="G15" s="34" t="str">
        <f t="shared" si="1"/>
        <v/>
      </c>
      <c r="H15" s="22"/>
      <c r="I15" s="22"/>
      <c r="J15" s="22"/>
      <c r="K15" s="22"/>
      <c r="L15" s="22"/>
    </row>
    <row r="16" spans="1:12" x14ac:dyDescent="0.3">
      <c r="A16" s="22"/>
      <c r="B16" s="22"/>
      <c r="C16" s="22"/>
      <c r="D16" s="22"/>
      <c r="E16" s="22"/>
      <c r="F16" s="34" t="str">
        <f t="shared" si="0"/>
        <v/>
      </c>
      <c r="G16" s="34" t="str">
        <f t="shared" si="1"/>
        <v/>
      </c>
      <c r="H16" s="22"/>
      <c r="I16" s="22"/>
      <c r="J16" s="22"/>
      <c r="K16" s="22"/>
      <c r="L16" s="22"/>
    </row>
    <row r="17" spans="1:12" x14ac:dyDescent="0.3">
      <c r="A17" s="22"/>
      <c r="B17" s="22"/>
      <c r="C17" s="22"/>
      <c r="D17" s="22"/>
      <c r="E17" s="22"/>
      <c r="F17" s="34" t="str">
        <f t="shared" si="0"/>
        <v/>
      </c>
      <c r="G17" s="34" t="str">
        <f t="shared" si="1"/>
        <v/>
      </c>
      <c r="H17" s="22"/>
      <c r="I17" s="22"/>
      <c r="J17" s="22"/>
      <c r="K17" s="22"/>
      <c r="L17" s="22"/>
    </row>
    <row r="18" spans="1:12" x14ac:dyDescent="0.3">
      <c r="A18" s="22"/>
      <c r="B18" s="22"/>
      <c r="C18" s="22"/>
      <c r="D18" s="22"/>
      <c r="E18" s="22"/>
      <c r="F18" s="34" t="str">
        <f t="shared" si="0"/>
        <v/>
      </c>
      <c r="G18" s="34" t="str">
        <f t="shared" si="1"/>
        <v/>
      </c>
      <c r="H18" s="22"/>
      <c r="I18" s="22"/>
      <c r="J18" s="22"/>
      <c r="K18" s="22"/>
      <c r="L18" s="22"/>
    </row>
    <row r="19" spans="1:12" x14ac:dyDescent="0.3">
      <c r="A19" s="22"/>
      <c r="B19" s="22"/>
      <c r="C19" s="22"/>
      <c r="D19" s="22"/>
      <c r="E19" s="22"/>
      <c r="F19" s="34" t="str">
        <f t="shared" si="0"/>
        <v/>
      </c>
      <c r="G19" s="34" t="str">
        <f t="shared" si="1"/>
        <v/>
      </c>
      <c r="H19" s="22"/>
      <c r="I19" s="22"/>
      <c r="J19" s="22"/>
      <c r="K19" s="22"/>
      <c r="L19" s="22"/>
    </row>
    <row r="20" spans="1:12" x14ac:dyDescent="0.3">
      <c r="A20" s="22"/>
      <c r="B20" s="22"/>
      <c r="C20" s="22"/>
      <c r="D20" s="22"/>
      <c r="E20" s="22"/>
      <c r="F20" s="34" t="str">
        <f t="shared" si="0"/>
        <v/>
      </c>
      <c r="G20" s="34" t="str">
        <f t="shared" si="1"/>
        <v/>
      </c>
      <c r="H20" s="22"/>
      <c r="I20" s="22"/>
      <c r="J20" s="22"/>
      <c r="K20" s="22"/>
      <c r="L20" s="22"/>
    </row>
    <row r="21" spans="1:12" x14ac:dyDescent="0.3">
      <c r="A21" s="22"/>
      <c r="B21" s="22"/>
      <c r="C21" s="22"/>
      <c r="D21" s="22"/>
      <c r="E21" s="22"/>
      <c r="F21" s="34" t="str">
        <f t="shared" si="0"/>
        <v/>
      </c>
      <c r="G21" s="34" t="str">
        <f t="shared" si="1"/>
        <v/>
      </c>
      <c r="H21" s="22"/>
      <c r="I21" s="22"/>
      <c r="J21" s="22"/>
      <c r="K21" s="22"/>
      <c r="L21" s="22"/>
    </row>
    <row r="22" spans="1:12" x14ac:dyDescent="0.3">
      <c r="A22" s="22"/>
      <c r="B22" s="22"/>
      <c r="C22" s="22"/>
      <c r="D22" s="22"/>
      <c r="E22" s="22"/>
      <c r="F22" s="34" t="str">
        <f t="shared" si="0"/>
        <v/>
      </c>
      <c r="G22" s="34" t="str">
        <f t="shared" si="1"/>
        <v/>
      </c>
      <c r="H22" s="22"/>
      <c r="I22" s="22"/>
      <c r="J22" s="22"/>
      <c r="K22" s="22"/>
      <c r="L22" s="22"/>
    </row>
    <row r="23" spans="1:12" x14ac:dyDescent="0.3">
      <c r="A23" s="22"/>
      <c r="B23" s="22"/>
      <c r="C23" s="22"/>
      <c r="D23" s="22"/>
      <c r="E23" s="22"/>
      <c r="F23" s="34" t="str">
        <f t="shared" si="0"/>
        <v/>
      </c>
      <c r="G23" s="34" t="str">
        <f t="shared" si="1"/>
        <v/>
      </c>
      <c r="H23" s="22"/>
      <c r="I23" s="22"/>
      <c r="J23" s="22"/>
      <c r="K23" s="22"/>
      <c r="L23" s="22"/>
    </row>
    <row r="24" spans="1:12" x14ac:dyDescent="0.3">
      <c r="A24" s="22"/>
      <c r="B24" s="22"/>
      <c r="C24" s="22"/>
      <c r="D24" s="22"/>
      <c r="E24" s="22"/>
      <c r="F24" s="34" t="str">
        <f t="shared" si="0"/>
        <v/>
      </c>
      <c r="G24" s="34" t="str">
        <f t="shared" si="1"/>
        <v/>
      </c>
      <c r="H24" s="22"/>
      <c r="I24" s="22"/>
      <c r="J24" s="22"/>
      <c r="K24" s="22"/>
      <c r="L24" s="22"/>
    </row>
    <row r="25" spans="1:12" x14ac:dyDescent="0.3">
      <c r="A25" s="22"/>
      <c r="B25" s="22"/>
      <c r="C25" s="22"/>
      <c r="D25" s="22"/>
      <c r="E25" s="22"/>
      <c r="F25" s="34" t="str">
        <f t="shared" si="0"/>
        <v/>
      </c>
      <c r="G25" s="34" t="str">
        <f t="shared" si="1"/>
        <v/>
      </c>
      <c r="H25" s="22"/>
      <c r="I25" s="22"/>
      <c r="J25" s="22"/>
      <c r="K25" s="22"/>
      <c r="L25" s="22"/>
    </row>
    <row r="26" spans="1:12" x14ac:dyDescent="0.3">
      <c r="A26" s="22"/>
      <c r="B26" s="22"/>
      <c r="C26" s="22"/>
      <c r="D26" s="22"/>
      <c r="E26" s="22"/>
      <c r="F26" s="34" t="str">
        <f t="shared" si="0"/>
        <v/>
      </c>
      <c r="G26" s="34" t="str">
        <f t="shared" si="1"/>
        <v/>
      </c>
      <c r="H26" s="22"/>
      <c r="I26" s="22"/>
      <c r="J26" s="22"/>
      <c r="K26" s="22"/>
      <c r="L26" s="22"/>
    </row>
    <row r="27" spans="1:12" x14ac:dyDescent="0.3">
      <c r="A27" s="22"/>
      <c r="B27" s="22"/>
      <c r="C27" s="22"/>
      <c r="D27" s="22"/>
      <c r="E27" s="22"/>
      <c r="F27" s="34" t="str">
        <f t="shared" si="0"/>
        <v/>
      </c>
      <c r="G27" s="34" t="str">
        <f t="shared" si="1"/>
        <v/>
      </c>
      <c r="H27" s="22"/>
      <c r="I27" s="22"/>
      <c r="J27" s="22"/>
      <c r="K27" s="22"/>
      <c r="L27" s="22"/>
    </row>
    <row r="28" spans="1:12" x14ac:dyDescent="0.3">
      <c r="A28" s="22"/>
      <c r="B28" s="22"/>
      <c r="C28" s="22"/>
      <c r="D28" s="22"/>
      <c r="E28" s="22"/>
      <c r="F28" s="34" t="str">
        <f t="shared" si="0"/>
        <v/>
      </c>
      <c r="G28" s="34" t="str">
        <f t="shared" si="1"/>
        <v/>
      </c>
      <c r="H28" s="22"/>
      <c r="I28" s="22"/>
      <c r="J28" s="22"/>
      <c r="K28" s="22"/>
      <c r="L28" s="22"/>
    </row>
    <row r="29" spans="1:12" x14ac:dyDescent="0.3">
      <c r="A29" s="22"/>
      <c r="B29" s="22"/>
      <c r="C29" s="22"/>
      <c r="D29" s="22"/>
      <c r="E29" s="22"/>
      <c r="F29" s="34" t="str">
        <f t="shared" si="0"/>
        <v/>
      </c>
      <c r="G29" s="34" t="str">
        <f t="shared" si="1"/>
        <v/>
      </c>
      <c r="H29" s="22"/>
      <c r="I29" s="22"/>
      <c r="J29" s="22"/>
      <c r="K29" s="22"/>
      <c r="L29" s="22"/>
    </row>
    <row r="30" spans="1:12" x14ac:dyDescent="0.3">
      <c r="A30" s="22"/>
      <c r="B30" s="22"/>
      <c r="C30" s="22"/>
      <c r="D30" s="22"/>
      <c r="E30" s="22"/>
      <c r="F30" s="34" t="str">
        <f t="shared" si="0"/>
        <v/>
      </c>
      <c r="G30" s="34" t="str">
        <f t="shared" si="1"/>
        <v/>
      </c>
      <c r="H30" s="22"/>
      <c r="I30" s="22"/>
      <c r="J30" s="22"/>
      <c r="K30" s="22"/>
      <c r="L30" s="22"/>
    </row>
    <row r="31" spans="1:12" x14ac:dyDescent="0.3">
      <c r="A31" s="22"/>
      <c r="B31" s="22"/>
      <c r="C31" s="22"/>
      <c r="D31" s="22"/>
      <c r="E31" s="22"/>
      <c r="F31" s="34" t="str">
        <f t="shared" si="0"/>
        <v/>
      </c>
      <c r="G31" s="34" t="str">
        <f t="shared" si="1"/>
        <v/>
      </c>
      <c r="H31" s="22"/>
      <c r="I31" s="22"/>
      <c r="J31" s="22"/>
      <c r="K31" s="22"/>
      <c r="L31" s="22"/>
    </row>
    <row r="32" spans="1:12" x14ac:dyDescent="0.3">
      <c r="A32" s="22"/>
      <c r="B32" s="22"/>
      <c r="C32" s="22"/>
      <c r="D32" s="22"/>
      <c r="E32" s="22"/>
      <c r="F32" s="34" t="str">
        <f t="shared" si="0"/>
        <v/>
      </c>
      <c r="G32" s="34" t="str">
        <f t="shared" si="1"/>
        <v/>
      </c>
      <c r="H32" s="22"/>
      <c r="I32" s="22"/>
      <c r="J32" s="22"/>
      <c r="K32" s="22"/>
      <c r="L32" s="22"/>
    </row>
    <row r="33" spans="1:12" x14ac:dyDescent="0.3">
      <c r="A33" s="22"/>
      <c r="B33" s="22"/>
      <c r="C33" s="22"/>
      <c r="D33" s="22"/>
      <c r="E33" s="22"/>
      <c r="F33" s="34" t="str">
        <f t="shared" si="0"/>
        <v/>
      </c>
      <c r="G33" s="34" t="str">
        <f t="shared" si="1"/>
        <v/>
      </c>
      <c r="H33" s="22"/>
      <c r="I33" s="22"/>
      <c r="J33" s="22"/>
      <c r="K33" s="22"/>
      <c r="L33" s="22"/>
    </row>
    <row r="34" spans="1:12" x14ac:dyDescent="0.3">
      <c r="A34" s="22"/>
      <c r="B34" s="22"/>
      <c r="C34" s="22"/>
      <c r="D34" s="22"/>
      <c r="E34" s="22"/>
      <c r="F34" s="34" t="str">
        <f t="shared" ref="F34:F65" si="2">IF(AND(ISNUMBER(D34),ISNUMBER(E34)),D34*E34,"")</f>
        <v/>
      </c>
      <c r="G34" s="34" t="str">
        <f t="shared" ref="G34:G65" si="3">IF(F34="","",IF(F34&gt;=15,"hoch",IF(F34&gt;=8,"mittel","niedrig")))</f>
        <v/>
      </c>
      <c r="H34" s="22"/>
      <c r="I34" s="22"/>
      <c r="J34" s="22"/>
      <c r="K34" s="22"/>
      <c r="L34" s="22"/>
    </row>
    <row r="35" spans="1:12" x14ac:dyDescent="0.3">
      <c r="A35" s="22"/>
      <c r="B35" s="22"/>
      <c r="C35" s="22"/>
      <c r="D35" s="22"/>
      <c r="E35" s="22"/>
      <c r="F35" s="34" t="str">
        <f t="shared" si="2"/>
        <v/>
      </c>
      <c r="G35" s="34" t="str">
        <f t="shared" si="3"/>
        <v/>
      </c>
      <c r="H35" s="22"/>
      <c r="I35" s="22"/>
      <c r="J35" s="22"/>
      <c r="K35" s="22"/>
      <c r="L35" s="22"/>
    </row>
    <row r="36" spans="1:12" x14ac:dyDescent="0.3">
      <c r="A36" s="22"/>
      <c r="B36" s="22"/>
      <c r="C36" s="22"/>
      <c r="D36" s="22"/>
      <c r="E36" s="22"/>
      <c r="F36" s="34" t="str">
        <f t="shared" si="2"/>
        <v/>
      </c>
      <c r="G36" s="34" t="str">
        <f t="shared" si="3"/>
        <v/>
      </c>
      <c r="H36" s="22"/>
      <c r="I36" s="22"/>
      <c r="J36" s="22"/>
      <c r="K36" s="22"/>
      <c r="L36" s="22"/>
    </row>
    <row r="37" spans="1:12" x14ac:dyDescent="0.3">
      <c r="A37" s="22"/>
      <c r="B37" s="22"/>
      <c r="C37" s="22"/>
      <c r="D37" s="22"/>
      <c r="E37" s="22"/>
      <c r="F37" s="34" t="str">
        <f t="shared" si="2"/>
        <v/>
      </c>
      <c r="G37" s="34" t="str">
        <f t="shared" si="3"/>
        <v/>
      </c>
      <c r="H37" s="22"/>
      <c r="I37" s="22"/>
      <c r="J37" s="22"/>
      <c r="K37" s="22"/>
      <c r="L37" s="22"/>
    </row>
    <row r="38" spans="1:12" x14ac:dyDescent="0.3">
      <c r="A38" s="22"/>
      <c r="B38" s="22"/>
      <c r="C38" s="22"/>
      <c r="D38" s="22"/>
      <c r="E38" s="22"/>
      <c r="F38" s="34" t="str">
        <f t="shared" si="2"/>
        <v/>
      </c>
      <c r="G38" s="34" t="str">
        <f t="shared" si="3"/>
        <v/>
      </c>
      <c r="H38" s="22"/>
      <c r="I38" s="22"/>
      <c r="J38" s="22"/>
      <c r="K38" s="22"/>
      <c r="L38" s="22"/>
    </row>
    <row r="39" spans="1:12" x14ac:dyDescent="0.3">
      <c r="A39" s="22"/>
      <c r="B39" s="22"/>
      <c r="C39" s="22"/>
      <c r="D39" s="22"/>
      <c r="E39" s="22"/>
      <c r="F39" s="34" t="str">
        <f t="shared" si="2"/>
        <v/>
      </c>
      <c r="G39" s="34" t="str">
        <f t="shared" si="3"/>
        <v/>
      </c>
      <c r="H39" s="22"/>
      <c r="I39" s="22"/>
      <c r="J39" s="22"/>
      <c r="K39" s="22"/>
      <c r="L39" s="22"/>
    </row>
    <row r="40" spans="1:12" x14ac:dyDescent="0.3">
      <c r="A40" s="22"/>
      <c r="B40" s="22"/>
      <c r="C40" s="22"/>
      <c r="D40" s="22"/>
      <c r="E40" s="22"/>
      <c r="F40" s="34" t="str">
        <f t="shared" si="2"/>
        <v/>
      </c>
      <c r="G40" s="34" t="str">
        <f t="shared" si="3"/>
        <v/>
      </c>
      <c r="H40" s="22"/>
      <c r="I40" s="22"/>
      <c r="J40" s="22"/>
      <c r="K40" s="22"/>
      <c r="L40" s="22"/>
    </row>
    <row r="41" spans="1:12" x14ac:dyDescent="0.3">
      <c r="A41" s="22"/>
      <c r="B41" s="22"/>
      <c r="C41" s="22"/>
      <c r="D41" s="22"/>
      <c r="E41" s="22"/>
      <c r="F41" s="34" t="str">
        <f t="shared" si="2"/>
        <v/>
      </c>
      <c r="G41" s="34" t="str">
        <f t="shared" si="3"/>
        <v/>
      </c>
      <c r="H41" s="22"/>
      <c r="I41" s="22"/>
      <c r="J41" s="22"/>
      <c r="K41" s="22"/>
      <c r="L41" s="22"/>
    </row>
    <row r="42" spans="1:12" x14ac:dyDescent="0.3">
      <c r="A42" s="22"/>
      <c r="B42" s="22"/>
      <c r="C42" s="22"/>
      <c r="D42" s="22"/>
      <c r="E42" s="22"/>
      <c r="F42" s="34" t="str">
        <f t="shared" si="2"/>
        <v/>
      </c>
      <c r="G42" s="34" t="str">
        <f t="shared" si="3"/>
        <v/>
      </c>
      <c r="H42" s="22"/>
      <c r="I42" s="22"/>
      <c r="J42" s="22"/>
      <c r="K42" s="22"/>
      <c r="L42" s="22"/>
    </row>
    <row r="43" spans="1:12" x14ac:dyDescent="0.3">
      <c r="A43" s="22"/>
      <c r="B43" s="22"/>
      <c r="C43" s="22"/>
      <c r="D43" s="22"/>
      <c r="E43" s="22"/>
      <c r="F43" s="34" t="str">
        <f t="shared" si="2"/>
        <v/>
      </c>
      <c r="G43" s="34" t="str">
        <f t="shared" si="3"/>
        <v/>
      </c>
      <c r="H43" s="22"/>
      <c r="I43" s="22"/>
      <c r="J43" s="22"/>
      <c r="K43" s="22"/>
      <c r="L43" s="22"/>
    </row>
    <row r="44" spans="1:12" x14ac:dyDescent="0.3">
      <c r="A44" s="22"/>
      <c r="B44" s="22"/>
      <c r="C44" s="22"/>
      <c r="D44" s="22"/>
      <c r="E44" s="22"/>
      <c r="F44" s="34" t="str">
        <f t="shared" si="2"/>
        <v/>
      </c>
      <c r="G44" s="34" t="str">
        <f t="shared" si="3"/>
        <v/>
      </c>
      <c r="H44" s="22"/>
      <c r="I44" s="22"/>
      <c r="J44" s="22"/>
      <c r="K44" s="22"/>
      <c r="L44" s="22"/>
    </row>
    <row r="45" spans="1:12" x14ac:dyDescent="0.3">
      <c r="A45" s="22"/>
      <c r="B45" s="22"/>
      <c r="C45" s="22"/>
      <c r="D45" s="22"/>
      <c r="E45" s="22"/>
      <c r="F45" s="34" t="str">
        <f t="shared" si="2"/>
        <v/>
      </c>
      <c r="G45" s="34" t="str">
        <f t="shared" si="3"/>
        <v/>
      </c>
      <c r="H45" s="22"/>
      <c r="I45" s="22"/>
      <c r="J45" s="22"/>
      <c r="K45" s="22"/>
      <c r="L45" s="22"/>
    </row>
    <row r="46" spans="1:12" x14ac:dyDescent="0.3">
      <c r="A46" s="22"/>
      <c r="B46" s="22"/>
      <c r="C46" s="22"/>
      <c r="D46" s="22"/>
      <c r="E46" s="22"/>
      <c r="F46" s="34" t="str">
        <f t="shared" si="2"/>
        <v/>
      </c>
      <c r="G46" s="34" t="str">
        <f t="shared" si="3"/>
        <v/>
      </c>
      <c r="H46" s="22"/>
      <c r="I46" s="22"/>
      <c r="J46" s="22"/>
      <c r="K46" s="22"/>
      <c r="L46" s="22"/>
    </row>
    <row r="47" spans="1:12" x14ac:dyDescent="0.3">
      <c r="A47" s="22"/>
      <c r="B47" s="22"/>
      <c r="C47" s="22"/>
      <c r="D47" s="22"/>
      <c r="E47" s="22"/>
      <c r="F47" s="34" t="str">
        <f t="shared" si="2"/>
        <v/>
      </c>
      <c r="G47" s="34" t="str">
        <f t="shared" si="3"/>
        <v/>
      </c>
      <c r="H47" s="22"/>
      <c r="I47" s="22"/>
      <c r="J47" s="22"/>
      <c r="K47" s="22"/>
      <c r="L47" s="22"/>
    </row>
    <row r="48" spans="1:12" x14ac:dyDescent="0.3">
      <c r="A48" s="22"/>
      <c r="B48" s="22"/>
      <c r="C48" s="22"/>
      <c r="D48" s="22"/>
      <c r="E48" s="22"/>
      <c r="F48" s="34" t="str">
        <f t="shared" si="2"/>
        <v/>
      </c>
      <c r="G48" s="34" t="str">
        <f t="shared" si="3"/>
        <v/>
      </c>
      <c r="H48" s="22"/>
      <c r="I48" s="22"/>
      <c r="J48" s="22"/>
      <c r="K48" s="22"/>
      <c r="L48" s="22"/>
    </row>
    <row r="49" spans="1:12" x14ac:dyDescent="0.3">
      <c r="A49" s="22"/>
      <c r="B49" s="22"/>
      <c r="C49" s="22"/>
      <c r="D49" s="22"/>
      <c r="E49" s="22"/>
      <c r="F49" s="34" t="str">
        <f t="shared" si="2"/>
        <v/>
      </c>
      <c r="G49" s="34" t="str">
        <f t="shared" si="3"/>
        <v/>
      </c>
      <c r="H49" s="22"/>
      <c r="I49" s="22"/>
      <c r="J49" s="22"/>
      <c r="K49" s="22"/>
      <c r="L49" s="22"/>
    </row>
    <row r="50" spans="1:12" x14ac:dyDescent="0.3">
      <c r="A50" s="22"/>
      <c r="B50" s="22"/>
      <c r="C50" s="22"/>
      <c r="D50" s="22"/>
      <c r="E50" s="22"/>
      <c r="F50" s="34" t="str">
        <f t="shared" si="2"/>
        <v/>
      </c>
      <c r="G50" s="34" t="str">
        <f t="shared" si="3"/>
        <v/>
      </c>
      <c r="H50" s="22"/>
      <c r="I50" s="22"/>
      <c r="J50" s="22"/>
      <c r="K50" s="22"/>
      <c r="L50" s="22"/>
    </row>
    <row r="51" spans="1:12" x14ac:dyDescent="0.3">
      <c r="A51" s="22"/>
      <c r="B51" s="22"/>
      <c r="C51" s="22"/>
      <c r="D51" s="22"/>
      <c r="E51" s="22"/>
      <c r="F51" s="34" t="str">
        <f t="shared" si="2"/>
        <v/>
      </c>
      <c r="G51" s="34" t="str">
        <f t="shared" si="3"/>
        <v/>
      </c>
      <c r="H51" s="22"/>
      <c r="I51" s="22"/>
      <c r="J51" s="22"/>
      <c r="K51" s="22"/>
      <c r="L51" s="22"/>
    </row>
    <row r="52" spans="1:12" x14ac:dyDescent="0.3">
      <c r="A52" s="22"/>
      <c r="B52" s="22"/>
      <c r="C52" s="22"/>
      <c r="D52" s="22"/>
      <c r="E52" s="22"/>
      <c r="F52" s="34" t="str">
        <f t="shared" si="2"/>
        <v/>
      </c>
      <c r="G52" s="34" t="str">
        <f t="shared" si="3"/>
        <v/>
      </c>
      <c r="H52" s="22"/>
      <c r="I52" s="22"/>
      <c r="J52" s="22"/>
      <c r="K52" s="22"/>
      <c r="L52" s="22"/>
    </row>
    <row r="53" spans="1:12" x14ac:dyDescent="0.3">
      <c r="A53" s="22"/>
      <c r="B53" s="22"/>
      <c r="C53" s="22"/>
      <c r="D53" s="22"/>
      <c r="E53" s="22"/>
      <c r="F53" s="34" t="str">
        <f t="shared" si="2"/>
        <v/>
      </c>
      <c r="G53" s="34" t="str">
        <f t="shared" si="3"/>
        <v/>
      </c>
      <c r="H53" s="22"/>
      <c r="I53" s="22"/>
      <c r="J53" s="22"/>
      <c r="K53" s="22"/>
      <c r="L53" s="22"/>
    </row>
    <row r="54" spans="1:12" x14ac:dyDescent="0.3">
      <c r="A54" s="22"/>
      <c r="B54" s="22"/>
      <c r="C54" s="22"/>
      <c r="D54" s="22"/>
      <c r="E54" s="22"/>
      <c r="F54" s="34" t="str">
        <f t="shared" si="2"/>
        <v/>
      </c>
      <c r="G54" s="34" t="str">
        <f t="shared" si="3"/>
        <v/>
      </c>
      <c r="H54" s="22"/>
      <c r="I54" s="22"/>
      <c r="J54" s="22"/>
      <c r="K54" s="22"/>
      <c r="L54" s="22"/>
    </row>
    <row r="55" spans="1:12" x14ac:dyDescent="0.3">
      <c r="A55" s="22"/>
      <c r="B55" s="22"/>
      <c r="C55" s="22"/>
      <c r="D55" s="22"/>
      <c r="E55" s="22"/>
      <c r="F55" s="34" t="str">
        <f t="shared" si="2"/>
        <v/>
      </c>
      <c r="G55" s="34" t="str">
        <f t="shared" si="3"/>
        <v/>
      </c>
      <c r="H55" s="22"/>
      <c r="I55" s="22"/>
      <c r="J55" s="22"/>
      <c r="K55" s="22"/>
      <c r="L55" s="22"/>
    </row>
    <row r="56" spans="1:12" x14ac:dyDescent="0.3">
      <c r="A56" s="22"/>
      <c r="B56" s="22"/>
      <c r="C56" s="22"/>
      <c r="D56" s="22"/>
      <c r="E56" s="22"/>
      <c r="F56" s="34" t="str">
        <f t="shared" si="2"/>
        <v/>
      </c>
      <c r="G56" s="34" t="str">
        <f t="shared" si="3"/>
        <v/>
      </c>
      <c r="H56" s="22"/>
      <c r="I56" s="22"/>
      <c r="J56" s="22"/>
      <c r="K56" s="22"/>
      <c r="L56" s="22"/>
    </row>
    <row r="57" spans="1:12" x14ac:dyDescent="0.3">
      <c r="A57" s="22"/>
      <c r="B57" s="22"/>
      <c r="C57" s="22"/>
      <c r="D57" s="22"/>
      <c r="E57" s="22"/>
      <c r="F57" s="34" t="str">
        <f t="shared" si="2"/>
        <v/>
      </c>
      <c r="G57" s="34" t="str">
        <f t="shared" si="3"/>
        <v/>
      </c>
      <c r="H57" s="22"/>
      <c r="I57" s="22"/>
      <c r="J57" s="22"/>
      <c r="K57" s="22"/>
      <c r="L57" s="22"/>
    </row>
    <row r="58" spans="1:12" x14ac:dyDescent="0.3">
      <c r="A58" s="22"/>
      <c r="B58" s="22"/>
      <c r="C58" s="22"/>
      <c r="D58" s="22"/>
      <c r="E58" s="22"/>
      <c r="F58" s="34" t="str">
        <f t="shared" si="2"/>
        <v/>
      </c>
      <c r="G58" s="34" t="str">
        <f t="shared" si="3"/>
        <v/>
      </c>
      <c r="H58" s="22"/>
      <c r="I58" s="22"/>
      <c r="J58" s="22"/>
      <c r="K58" s="22"/>
      <c r="L58" s="22"/>
    </row>
    <row r="59" spans="1:12" x14ac:dyDescent="0.3">
      <c r="A59" s="22"/>
      <c r="B59" s="22"/>
      <c r="C59" s="22"/>
      <c r="D59" s="22"/>
      <c r="E59" s="22"/>
      <c r="F59" s="34" t="str">
        <f t="shared" si="2"/>
        <v/>
      </c>
      <c r="G59" s="34" t="str">
        <f t="shared" si="3"/>
        <v/>
      </c>
      <c r="H59" s="22"/>
      <c r="I59" s="22"/>
      <c r="J59" s="22"/>
      <c r="K59" s="22"/>
      <c r="L59" s="22"/>
    </row>
    <row r="60" spans="1:12" x14ac:dyDescent="0.3">
      <c r="A60" s="22"/>
      <c r="B60" s="22"/>
      <c r="C60" s="22"/>
      <c r="D60" s="22"/>
      <c r="E60" s="22"/>
      <c r="F60" s="34" t="str">
        <f t="shared" si="2"/>
        <v/>
      </c>
      <c r="G60" s="34" t="str">
        <f t="shared" si="3"/>
        <v/>
      </c>
      <c r="H60" s="22"/>
      <c r="I60" s="22"/>
      <c r="J60" s="22"/>
      <c r="K60" s="22"/>
      <c r="L60" s="22"/>
    </row>
    <row r="61" spans="1:12" x14ac:dyDescent="0.3">
      <c r="A61" s="22"/>
      <c r="B61" s="22"/>
      <c r="C61" s="22"/>
      <c r="D61" s="22"/>
      <c r="E61" s="22"/>
      <c r="F61" s="34" t="str">
        <f t="shared" si="2"/>
        <v/>
      </c>
      <c r="G61" s="34" t="str">
        <f t="shared" si="3"/>
        <v/>
      </c>
      <c r="H61" s="22"/>
      <c r="I61" s="22"/>
      <c r="J61" s="22"/>
      <c r="K61" s="22"/>
      <c r="L61" s="22"/>
    </row>
  </sheetData>
  <conditionalFormatting sqref="F2:F61">
    <cfRule type="cellIs" dxfId="3" priority="2" operator="greaterThanOrEqual">
      <formula>15</formula>
    </cfRule>
    <cfRule type="cellIs" dxfId="2" priority="3" operator="between">
      <formula>8</formula>
      <formula>14</formula>
    </cfRule>
    <cfRule type="cellIs" dxfId="1" priority="4" operator="between">
      <formula>1</formula>
      <formula>7</formula>
    </cfRule>
  </conditionalFormatting>
  <dataValidations count="5">
    <dataValidation type="list" allowBlank="1" sqref="C2:C61" xr:uid="{00000000-0002-0000-0600-000000000000}">
      <formula1>"Scope,Technik,Zeit,Wissen,Qualität,Extern,Motivation"</formula1>
      <formula2>0</formula2>
    </dataValidation>
    <dataValidation type="list" allowBlank="1" sqref="D2:E61" xr:uid="{00000000-0002-0000-0600-000001000000}">
      <formula1>"1,2,3,4,5"</formula1>
      <formula2>0</formula2>
    </dataValidation>
    <dataValidation type="list" allowBlank="1" sqref="H2:H61" xr:uid="{00000000-0002-0000-0600-000002000000}">
      <formula1>"Vermeiden,Vermindern,Übertragen,Akzeptieren"</formula1>
      <formula2>0</formula2>
    </dataValidation>
    <dataValidation type="list" allowBlank="1" sqref="J2:J61" xr:uid="{00000000-0002-0000-0600-000003000000}">
      <formula1>"Aktiv,Beobachten,Geschlossen"</formula1>
      <formula2>0</formula2>
    </dataValidation>
    <dataValidation type="list" allowBlank="1" sqref="K2:K61" xr:uid="{00000000-0002-0000-0600-000004000000}">
      <formula1>"Ja,Nein"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34" customWidth="1"/>
    <col min="3" max="3" width="9" customWidth="1"/>
    <col min="4" max="4" width="36" customWidth="1"/>
    <col min="5" max="6" width="20" customWidth="1"/>
    <col min="7" max="7" width="12" customWidth="1"/>
    <col min="8" max="8" width="11" customWidth="1"/>
    <col min="9" max="9" width="10" customWidth="1"/>
    <col min="10" max="12" width="12" customWidth="1"/>
    <col min="13" max="13" width="28" customWidth="1"/>
  </cols>
  <sheetData>
    <row r="1" spans="1:13" ht="31.5" customHeight="1" x14ac:dyDescent="0.3">
      <c r="A1" s="15" t="s">
        <v>72</v>
      </c>
      <c r="B1" s="15" t="s">
        <v>131</v>
      </c>
      <c r="C1" s="15" t="s">
        <v>132</v>
      </c>
      <c r="D1" s="15" t="s">
        <v>133</v>
      </c>
      <c r="E1" s="15" t="s">
        <v>134</v>
      </c>
      <c r="F1" s="15" t="s">
        <v>135</v>
      </c>
      <c r="G1" s="15" t="s">
        <v>136</v>
      </c>
      <c r="H1" s="15" t="s">
        <v>137</v>
      </c>
      <c r="I1" s="15" t="s">
        <v>138</v>
      </c>
      <c r="J1" s="15" t="s">
        <v>78</v>
      </c>
      <c r="K1" s="15" t="s">
        <v>139</v>
      </c>
      <c r="L1" s="15" t="s">
        <v>140</v>
      </c>
      <c r="M1" s="15" t="s">
        <v>141</v>
      </c>
    </row>
    <row r="2" spans="1:13" ht="26.4" x14ac:dyDescent="0.3">
      <c r="A2" s="19" t="s">
        <v>88</v>
      </c>
      <c r="B2" s="19" t="s">
        <v>142</v>
      </c>
      <c r="C2" s="19" t="s">
        <v>143</v>
      </c>
      <c r="D2" s="19" t="s">
        <v>144</v>
      </c>
      <c r="E2" s="19" t="s">
        <v>145</v>
      </c>
      <c r="F2" s="19" t="s">
        <v>146</v>
      </c>
      <c r="G2" s="19" t="s">
        <v>147</v>
      </c>
      <c r="H2" s="19" t="s">
        <v>148</v>
      </c>
      <c r="I2" s="19" t="s">
        <v>149</v>
      </c>
      <c r="J2" s="19" t="s">
        <v>150</v>
      </c>
      <c r="K2" s="17" t="s">
        <v>151</v>
      </c>
      <c r="L2" s="17"/>
      <c r="M2" s="19" t="s">
        <v>152</v>
      </c>
    </row>
    <row r="3" spans="1:13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0"/>
      <c r="L3" s="20"/>
      <c r="M3" s="22"/>
    </row>
    <row r="4" spans="1:13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0"/>
      <c r="L4" s="20"/>
      <c r="M4" s="22"/>
    </row>
    <row r="5" spans="1:13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0"/>
      <c r="L5" s="20"/>
      <c r="M5" s="22"/>
    </row>
    <row r="6" spans="1:13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0"/>
      <c r="L6" s="20"/>
      <c r="M6" s="22"/>
    </row>
    <row r="7" spans="1:13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20"/>
      <c r="L7" s="20"/>
      <c r="M7" s="22"/>
    </row>
    <row r="8" spans="1:13" x14ac:dyDescent="0.3">
      <c r="A8" s="22"/>
      <c r="B8" s="22"/>
      <c r="C8" s="22"/>
      <c r="D8" s="22"/>
      <c r="E8" s="22"/>
      <c r="F8" s="22"/>
      <c r="G8" s="22"/>
      <c r="H8" s="22"/>
      <c r="I8" s="22"/>
      <c r="J8" s="22"/>
      <c r="K8" s="20"/>
      <c r="L8" s="20"/>
      <c r="M8" s="22"/>
    </row>
    <row r="9" spans="1:13" x14ac:dyDescent="0.3">
      <c r="A9" s="22"/>
      <c r="B9" s="22"/>
      <c r="C9" s="22"/>
      <c r="D9" s="22"/>
      <c r="E9" s="22"/>
      <c r="F9" s="22"/>
      <c r="G9" s="22"/>
      <c r="H9" s="22"/>
      <c r="I9" s="22"/>
      <c r="J9" s="22"/>
      <c r="K9" s="20"/>
      <c r="L9" s="20"/>
      <c r="M9" s="22"/>
    </row>
    <row r="10" spans="1:13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0"/>
      <c r="L10" s="20"/>
      <c r="M10" s="22"/>
    </row>
    <row r="11" spans="1:13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0"/>
      <c r="L11" s="20"/>
      <c r="M11" s="22"/>
    </row>
    <row r="12" spans="1:13" x14ac:dyDescent="0.3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0"/>
      <c r="L12" s="20"/>
      <c r="M12" s="22"/>
    </row>
    <row r="13" spans="1:13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0"/>
      <c r="L13" s="20"/>
      <c r="M13" s="22"/>
    </row>
    <row r="14" spans="1:13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0"/>
      <c r="L14" s="20"/>
      <c r="M14" s="22"/>
    </row>
    <row r="15" spans="1:13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0"/>
      <c r="L15" s="20"/>
      <c r="M15" s="22"/>
    </row>
    <row r="16" spans="1:13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0"/>
      <c r="L16" s="20"/>
      <c r="M16" s="22"/>
    </row>
    <row r="17" spans="1:13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0"/>
      <c r="L17" s="20"/>
      <c r="M17" s="22"/>
    </row>
    <row r="18" spans="1:13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0"/>
      <c r="L18" s="20"/>
      <c r="M18" s="22"/>
    </row>
    <row r="19" spans="1:13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0"/>
      <c r="L19" s="20"/>
      <c r="M19" s="22"/>
    </row>
    <row r="20" spans="1:13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0"/>
      <c r="L20" s="20"/>
      <c r="M20" s="22"/>
    </row>
    <row r="21" spans="1:13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0"/>
      <c r="L21" s="20"/>
      <c r="M21" s="22"/>
    </row>
    <row r="22" spans="1:13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0"/>
      <c r="L22" s="20"/>
      <c r="M22" s="22"/>
    </row>
    <row r="23" spans="1:13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0"/>
      <c r="L23" s="20"/>
      <c r="M23" s="22"/>
    </row>
    <row r="24" spans="1:13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0"/>
      <c r="L24" s="20"/>
      <c r="M24" s="22"/>
    </row>
    <row r="25" spans="1:13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0"/>
      <c r="L25" s="20"/>
      <c r="M25" s="22"/>
    </row>
    <row r="26" spans="1:13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0"/>
      <c r="L26" s="20"/>
      <c r="M26" s="22"/>
    </row>
    <row r="27" spans="1:13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0"/>
      <c r="L27" s="20"/>
      <c r="M27" s="22"/>
    </row>
    <row r="28" spans="1:13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0"/>
      <c r="L28" s="20"/>
      <c r="M28" s="22"/>
    </row>
    <row r="29" spans="1:13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0"/>
      <c r="L29" s="20"/>
      <c r="M29" s="22"/>
    </row>
    <row r="30" spans="1:13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0"/>
      <c r="L30" s="20"/>
      <c r="M30" s="22"/>
    </row>
    <row r="31" spans="1:13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0"/>
      <c r="L31" s="20"/>
      <c r="M31" s="22"/>
    </row>
    <row r="32" spans="1:13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0"/>
      <c r="L32" s="20"/>
      <c r="M32" s="22"/>
    </row>
    <row r="33" spans="1:13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0"/>
      <c r="L33" s="20"/>
      <c r="M33" s="22"/>
    </row>
    <row r="34" spans="1:13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0"/>
      <c r="L34" s="20"/>
      <c r="M34" s="22"/>
    </row>
    <row r="35" spans="1:13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0"/>
      <c r="L35" s="20"/>
      <c r="M35" s="22"/>
    </row>
    <row r="36" spans="1:13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0"/>
      <c r="L36" s="20"/>
      <c r="M36" s="22"/>
    </row>
    <row r="37" spans="1:13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0"/>
      <c r="L37" s="20"/>
      <c r="M37" s="22"/>
    </row>
    <row r="38" spans="1:13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0"/>
      <c r="L38" s="20"/>
      <c r="M38" s="22"/>
    </row>
    <row r="39" spans="1:13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0"/>
      <c r="L39" s="20"/>
      <c r="M39" s="22"/>
    </row>
    <row r="40" spans="1:13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0"/>
      <c r="L40" s="20"/>
      <c r="M40" s="22"/>
    </row>
    <row r="41" spans="1:13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0"/>
      <c r="L41" s="20"/>
      <c r="M41" s="22"/>
    </row>
    <row r="42" spans="1:13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0"/>
      <c r="L42" s="20"/>
      <c r="M42" s="22"/>
    </row>
    <row r="43" spans="1:13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0"/>
      <c r="L43" s="20"/>
      <c r="M43" s="22"/>
    </row>
    <row r="44" spans="1:13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0"/>
      <c r="L44" s="20"/>
      <c r="M44" s="22"/>
    </row>
    <row r="45" spans="1:13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0"/>
      <c r="L45" s="20"/>
      <c r="M45" s="22"/>
    </row>
    <row r="46" spans="1:13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0"/>
      <c r="L46" s="20"/>
      <c r="M46" s="22"/>
    </row>
    <row r="47" spans="1:13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0"/>
      <c r="L47" s="20"/>
      <c r="M47" s="22"/>
    </row>
    <row r="48" spans="1:13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0"/>
      <c r="L48" s="20"/>
      <c r="M48" s="22"/>
    </row>
    <row r="49" spans="1:13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0"/>
      <c r="L49" s="20"/>
      <c r="M49" s="22"/>
    </row>
    <row r="50" spans="1:13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0"/>
      <c r="L50" s="20"/>
      <c r="M50" s="22"/>
    </row>
    <row r="51" spans="1:13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0"/>
      <c r="L51" s="20"/>
      <c r="M51" s="22"/>
    </row>
    <row r="52" spans="1:13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0"/>
      <c r="L52" s="20"/>
      <c r="M52" s="22"/>
    </row>
    <row r="53" spans="1:13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0"/>
      <c r="L53" s="20"/>
      <c r="M53" s="22"/>
    </row>
    <row r="54" spans="1:13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0"/>
      <c r="L54" s="20"/>
      <c r="M54" s="22"/>
    </row>
    <row r="55" spans="1:13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0"/>
      <c r="L55" s="20"/>
      <c r="M55" s="22"/>
    </row>
    <row r="56" spans="1:13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0"/>
      <c r="L56" s="20"/>
      <c r="M56" s="22"/>
    </row>
    <row r="57" spans="1:13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0"/>
      <c r="L57" s="20"/>
      <c r="M57" s="22"/>
    </row>
    <row r="58" spans="1:13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0"/>
      <c r="L58" s="20"/>
      <c r="M58" s="22"/>
    </row>
    <row r="59" spans="1:13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0"/>
      <c r="L59" s="20"/>
      <c r="M59" s="22"/>
    </row>
    <row r="60" spans="1:13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0"/>
      <c r="L60" s="20"/>
      <c r="M60" s="22"/>
    </row>
    <row r="61" spans="1:13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0"/>
      <c r="L61" s="20"/>
      <c r="M61" s="22"/>
    </row>
    <row r="62" spans="1:13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0"/>
      <c r="L62" s="20"/>
      <c r="M62" s="22"/>
    </row>
    <row r="63" spans="1:13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0"/>
      <c r="L63" s="20"/>
      <c r="M63" s="22"/>
    </row>
    <row r="64" spans="1:13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0"/>
      <c r="L64" s="20"/>
      <c r="M64" s="22"/>
    </row>
    <row r="65" spans="1:13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0"/>
      <c r="L65" s="20"/>
      <c r="M65" s="22"/>
    </row>
    <row r="66" spans="1:13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0"/>
      <c r="L66" s="20"/>
      <c r="M66" s="22"/>
    </row>
    <row r="67" spans="1:13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0"/>
      <c r="L67" s="20"/>
      <c r="M67" s="22"/>
    </row>
    <row r="68" spans="1:13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0"/>
      <c r="L68" s="20"/>
      <c r="M68" s="22"/>
    </row>
    <row r="69" spans="1:13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0"/>
      <c r="L69" s="20"/>
      <c r="M69" s="22"/>
    </row>
    <row r="70" spans="1:13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0"/>
      <c r="L70" s="20"/>
      <c r="M70" s="22"/>
    </row>
    <row r="71" spans="1:13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0"/>
      <c r="L71" s="20"/>
      <c r="M71" s="22"/>
    </row>
    <row r="72" spans="1:13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0"/>
      <c r="L72" s="20"/>
      <c r="M72" s="22"/>
    </row>
    <row r="73" spans="1:13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0"/>
      <c r="L73" s="20"/>
      <c r="M73" s="22"/>
    </row>
    <row r="74" spans="1:13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0"/>
      <c r="L74" s="20"/>
      <c r="M74" s="22"/>
    </row>
    <row r="75" spans="1:13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0"/>
      <c r="L75" s="20"/>
      <c r="M75" s="22"/>
    </row>
    <row r="76" spans="1:13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0"/>
      <c r="L76" s="20"/>
      <c r="M76" s="22"/>
    </row>
    <row r="77" spans="1:13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0"/>
      <c r="L77" s="20"/>
      <c r="M77" s="22"/>
    </row>
    <row r="78" spans="1:13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0"/>
      <c r="L78" s="20"/>
      <c r="M78" s="22"/>
    </row>
    <row r="79" spans="1:13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0"/>
      <c r="L79" s="20"/>
      <c r="M79" s="22"/>
    </row>
    <row r="80" spans="1:13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0"/>
      <c r="L80" s="20"/>
      <c r="M80" s="22"/>
    </row>
    <row r="81" spans="1:13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0"/>
      <c r="L81" s="20"/>
      <c r="M81" s="22"/>
    </row>
    <row r="82" spans="1:13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0"/>
      <c r="L82" s="20"/>
      <c r="M82" s="22"/>
    </row>
    <row r="83" spans="1:13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0"/>
      <c r="L83" s="20"/>
      <c r="M83" s="22"/>
    </row>
    <row r="84" spans="1:13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0"/>
      <c r="L84" s="20"/>
      <c r="M84" s="22"/>
    </row>
    <row r="85" spans="1:13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0"/>
      <c r="L85" s="20"/>
      <c r="M85" s="22"/>
    </row>
    <row r="86" spans="1:13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0"/>
      <c r="L86" s="20"/>
      <c r="M86" s="22"/>
    </row>
    <row r="87" spans="1:13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0"/>
      <c r="L87" s="20"/>
      <c r="M87" s="22"/>
    </row>
    <row r="88" spans="1:13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0"/>
      <c r="L88" s="20"/>
      <c r="M88" s="22"/>
    </row>
    <row r="89" spans="1:13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0"/>
      <c r="L89" s="20"/>
      <c r="M89" s="22"/>
    </row>
    <row r="90" spans="1:13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0"/>
      <c r="L90" s="20"/>
      <c r="M90" s="22"/>
    </row>
    <row r="91" spans="1:13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0"/>
      <c r="L91" s="20"/>
      <c r="M91" s="22"/>
    </row>
    <row r="92" spans="1:13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0"/>
      <c r="L92" s="20"/>
      <c r="M92" s="22"/>
    </row>
    <row r="93" spans="1:13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0"/>
      <c r="L93" s="20"/>
      <c r="M93" s="22"/>
    </row>
    <row r="94" spans="1:13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0"/>
      <c r="L94" s="20"/>
      <c r="M94" s="22"/>
    </row>
    <row r="95" spans="1:13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0"/>
      <c r="L95" s="20"/>
      <c r="M95" s="22"/>
    </row>
    <row r="96" spans="1:13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0"/>
      <c r="L96" s="20"/>
      <c r="M96" s="22"/>
    </row>
    <row r="97" spans="1:13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0"/>
      <c r="L97" s="20"/>
      <c r="M97" s="22"/>
    </row>
    <row r="98" spans="1:13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0"/>
      <c r="L98" s="20"/>
      <c r="M98" s="22"/>
    </row>
    <row r="99" spans="1:13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0"/>
      <c r="L99" s="20"/>
      <c r="M99" s="22"/>
    </row>
    <row r="100" spans="1:13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0"/>
      <c r="L100" s="20"/>
      <c r="M100" s="22"/>
    </row>
    <row r="101" spans="1:13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0"/>
      <c r="L101" s="20"/>
      <c r="M101" s="22"/>
    </row>
    <row r="102" spans="1:13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0"/>
      <c r="L102" s="20"/>
      <c r="M102" s="22"/>
    </row>
    <row r="103" spans="1:13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0"/>
      <c r="L103" s="20"/>
      <c r="M103" s="22"/>
    </row>
    <row r="104" spans="1:13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0"/>
      <c r="L104" s="20"/>
      <c r="M104" s="22"/>
    </row>
    <row r="105" spans="1:13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0"/>
      <c r="L105" s="20"/>
      <c r="M105" s="22"/>
    </row>
    <row r="106" spans="1:13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0"/>
      <c r="L106" s="20"/>
      <c r="M106" s="22"/>
    </row>
    <row r="107" spans="1:13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0"/>
      <c r="L107" s="20"/>
      <c r="M107" s="22"/>
    </row>
    <row r="108" spans="1:13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0"/>
      <c r="L108" s="20"/>
      <c r="M108" s="22"/>
    </row>
    <row r="109" spans="1:13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0"/>
      <c r="L109" s="20"/>
      <c r="M109" s="22"/>
    </row>
    <row r="110" spans="1:13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0"/>
      <c r="L110" s="20"/>
      <c r="M110" s="22"/>
    </row>
    <row r="111" spans="1:13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0"/>
      <c r="L111" s="20"/>
      <c r="M111" s="22"/>
    </row>
    <row r="112" spans="1:13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0"/>
      <c r="L112" s="20"/>
      <c r="M112" s="22"/>
    </row>
    <row r="113" spans="1:13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0"/>
      <c r="L113" s="20"/>
      <c r="M113" s="22"/>
    </row>
    <row r="114" spans="1:13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0"/>
      <c r="L114" s="20"/>
      <c r="M114" s="22"/>
    </row>
    <row r="115" spans="1:13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0"/>
      <c r="L115" s="20"/>
      <c r="M115" s="22"/>
    </row>
    <row r="116" spans="1:13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0"/>
      <c r="L116" s="20"/>
      <c r="M116" s="22"/>
    </row>
    <row r="117" spans="1:13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0"/>
      <c r="L117" s="20"/>
      <c r="M117" s="22"/>
    </row>
    <row r="118" spans="1:13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0"/>
      <c r="L118" s="20"/>
      <c r="M118" s="22"/>
    </row>
    <row r="119" spans="1:13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0"/>
      <c r="L119" s="20"/>
      <c r="M119" s="22"/>
    </row>
    <row r="120" spans="1:13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0"/>
      <c r="L120" s="20"/>
      <c r="M120" s="22"/>
    </row>
    <row r="121" spans="1:13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0"/>
      <c r="L121" s="20"/>
      <c r="M121" s="22"/>
    </row>
    <row r="122" spans="1:13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0"/>
      <c r="L122" s="20"/>
      <c r="M122" s="22"/>
    </row>
    <row r="123" spans="1:13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0"/>
      <c r="L123" s="20"/>
      <c r="M123" s="22"/>
    </row>
    <row r="124" spans="1:13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0"/>
      <c r="L124" s="20"/>
      <c r="M124" s="22"/>
    </row>
    <row r="125" spans="1:13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0"/>
      <c r="L125" s="20"/>
      <c r="M125" s="22"/>
    </row>
    <row r="126" spans="1:13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0"/>
      <c r="L126" s="20"/>
      <c r="M126" s="22"/>
    </row>
    <row r="127" spans="1:13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0"/>
      <c r="L127" s="20"/>
      <c r="M127" s="22"/>
    </row>
    <row r="128" spans="1:13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0"/>
      <c r="L128" s="20"/>
      <c r="M128" s="22"/>
    </row>
    <row r="129" spans="1:13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0"/>
      <c r="L129" s="20"/>
      <c r="M129" s="22"/>
    </row>
    <row r="130" spans="1:13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0"/>
      <c r="L130" s="20"/>
      <c r="M130" s="22"/>
    </row>
    <row r="131" spans="1:13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0"/>
      <c r="L131" s="20"/>
      <c r="M131" s="22"/>
    </row>
    <row r="132" spans="1:13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0"/>
      <c r="L132" s="20"/>
      <c r="M132" s="22"/>
    </row>
    <row r="133" spans="1:13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0"/>
      <c r="L133" s="20"/>
      <c r="M133" s="22"/>
    </row>
    <row r="134" spans="1:13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0"/>
      <c r="L134" s="20"/>
      <c r="M134" s="22"/>
    </row>
    <row r="135" spans="1:13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0"/>
      <c r="L135" s="20"/>
      <c r="M135" s="22"/>
    </row>
    <row r="136" spans="1:13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0"/>
      <c r="L136" s="20"/>
      <c r="M136" s="22"/>
    </row>
    <row r="137" spans="1:13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0"/>
      <c r="L137" s="20"/>
      <c r="M137" s="22"/>
    </row>
    <row r="138" spans="1:13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0"/>
      <c r="L138" s="20"/>
      <c r="M138" s="22"/>
    </row>
    <row r="139" spans="1:13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0"/>
      <c r="L139" s="20"/>
      <c r="M139" s="22"/>
    </row>
    <row r="140" spans="1:13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0"/>
      <c r="L140" s="20"/>
      <c r="M140" s="22"/>
    </row>
    <row r="141" spans="1:13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0"/>
      <c r="L141" s="20"/>
      <c r="M141" s="22"/>
    </row>
    <row r="142" spans="1:13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0"/>
      <c r="L142" s="20"/>
      <c r="M142" s="22"/>
    </row>
    <row r="143" spans="1:13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0"/>
      <c r="L143" s="20"/>
      <c r="M143" s="22"/>
    </row>
    <row r="144" spans="1:13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0"/>
      <c r="L144" s="20"/>
      <c r="M144" s="22"/>
    </row>
    <row r="145" spans="1:13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0"/>
      <c r="L145" s="20"/>
      <c r="M145" s="22"/>
    </row>
    <row r="146" spans="1:13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0"/>
      <c r="L146" s="20"/>
      <c r="M146" s="22"/>
    </row>
    <row r="147" spans="1:13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0"/>
      <c r="L147" s="20"/>
      <c r="M147" s="22"/>
    </row>
    <row r="148" spans="1:13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0"/>
      <c r="L148" s="20"/>
      <c r="M148" s="22"/>
    </row>
    <row r="149" spans="1:13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0"/>
      <c r="L149" s="20"/>
      <c r="M149" s="22"/>
    </row>
    <row r="150" spans="1:13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0"/>
      <c r="L150" s="20"/>
      <c r="M150" s="22"/>
    </row>
    <row r="151" spans="1:13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0"/>
      <c r="L151" s="20"/>
      <c r="M151" s="22"/>
    </row>
    <row r="152" spans="1:13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0"/>
      <c r="L152" s="20"/>
      <c r="M152" s="22"/>
    </row>
    <row r="153" spans="1:13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0"/>
      <c r="L153" s="20"/>
      <c r="M153" s="22"/>
    </row>
    <row r="154" spans="1:13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0"/>
      <c r="L154" s="20"/>
      <c r="M154" s="22"/>
    </row>
    <row r="155" spans="1:13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0"/>
      <c r="L155" s="20"/>
      <c r="M155" s="22"/>
    </row>
    <row r="156" spans="1:13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0"/>
      <c r="L156" s="20"/>
      <c r="M156" s="22"/>
    </row>
    <row r="157" spans="1:13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0"/>
      <c r="L157" s="20"/>
      <c r="M157" s="22"/>
    </row>
    <row r="158" spans="1:13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0"/>
      <c r="L158" s="20"/>
      <c r="M158" s="22"/>
    </row>
    <row r="159" spans="1:13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0"/>
      <c r="L159" s="20"/>
      <c r="M159" s="22"/>
    </row>
    <row r="160" spans="1:13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0"/>
      <c r="L160" s="20"/>
      <c r="M160" s="22"/>
    </row>
    <row r="161" spans="1:13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0"/>
      <c r="L161" s="20"/>
      <c r="M161" s="22"/>
    </row>
    <row r="162" spans="1:13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0"/>
      <c r="L162" s="20"/>
      <c r="M162" s="22"/>
    </row>
    <row r="163" spans="1:13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0"/>
      <c r="L163" s="20"/>
      <c r="M163" s="22"/>
    </row>
    <row r="164" spans="1:13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0"/>
      <c r="L164" s="20"/>
      <c r="M164" s="22"/>
    </row>
    <row r="165" spans="1:13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0"/>
      <c r="L165" s="20"/>
      <c r="M165" s="22"/>
    </row>
    <row r="166" spans="1:13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0"/>
      <c r="L166" s="20"/>
      <c r="M166" s="22"/>
    </row>
    <row r="167" spans="1:13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0"/>
      <c r="L167" s="20"/>
      <c r="M167" s="22"/>
    </row>
    <row r="168" spans="1:13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0"/>
      <c r="L168" s="20"/>
      <c r="M168" s="22"/>
    </row>
    <row r="169" spans="1:13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0"/>
      <c r="L169" s="20"/>
      <c r="M169" s="22"/>
    </row>
    <row r="170" spans="1:13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0"/>
      <c r="L170" s="20"/>
      <c r="M170" s="22"/>
    </row>
    <row r="171" spans="1:13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0"/>
      <c r="L171" s="20"/>
      <c r="M171" s="22"/>
    </row>
    <row r="172" spans="1:13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0"/>
      <c r="L172" s="20"/>
      <c r="M172" s="22"/>
    </row>
    <row r="173" spans="1:13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0"/>
      <c r="L173" s="20"/>
      <c r="M173" s="22"/>
    </row>
    <row r="174" spans="1:13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0"/>
      <c r="L174" s="20"/>
      <c r="M174" s="22"/>
    </row>
    <row r="175" spans="1:13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0"/>
      <c r="L175" s="20"/>
      <c r="M175" s="22"/>
    </row>
    <row r="176" spans="1:13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0"/>
      <c r="L176" s="20"/>
      <c r="M176" s="22"/>
    </row>
    <row r="177" spans="1:13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0"/>
      <c r="L177" s="20"/>
      <c r="M177" s="22"/>
    </row>
    <row r="178" spans="1:13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0"/>
      <c r="L178" s="20"/>
      <c r="M178" s="22"/>
    </row>
    <row r="179" spans="1:13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0"/>
      <c r="L179" s="20"/>
      <c r="M179" s="22"/>
    </row>
    <row r="180" spans="1:13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0"/>
      <c r="L180" s="20"/>
      <c r="M180" s="22"/>
    </row>
    <row r="181" spans="1:13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0"/>
      <c r="L181" s="20"/>
      <c r="M181" s="22"/>
    </row>
    <row r="182" spans="1:13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0"/>
      <c r="L182" s="20"/>
      <c r="M182" s="22"/>
    </row>
    <row r="183" spans="1:13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0"/>
      <c r="L183" s="20"/>
      <c r="M183" s="22"/>
    </row>
    <row r="184" spans="1:13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0"/>
      <c r="L184" s="20"/>
      <c r="M184" s="22"/>
    </row>
    <row r="185" spans="1:13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0"/>
      <c r="L185" s="20"/>
      <c r="M185" s="22"/>
    </row>
    <row r="186" spans="1:13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0"/>
      <c r="L186" s="20"/>
      <c r="M186" s="22"/>
    </row>
    <row r="187" spans="1:13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0"/>
      <c r="L187" s="20"/>
      <c r="M187" s="22"/>
    </row>
    <row r="188" spans="1:13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0"/>
      <c r="L188" s="20"/>
      <c r="M188" s="22"/>
    </row>
    <row r="189" spans="1:13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0"/>
      <c r="L189" s="20"/>
      <c r="M189" s="22"/>
    </row>
    <row r="190" spans="1:13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0"/>
      <c r="L190" s="20"/>
      <c r="M190" s="22"/>
    </row>
    <row r="191" spans="1:13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0"/>
      <c r="L191" s="20"/>
      <c r="M191" s="22"/>
    </row>
    <row r="192" spans="1:13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0"/>
      <c r="L192" s="20"/>
      <c r="M192" s="22"/>
    </row>
    <row r="193" spans="1:13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0"/>
      <c r="L193" s="20"/>
      <c r="M193" s="22"/>
    </row>
    <row r="194" spans="1:13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0"/>
      <c r="L194" s="20"/>
      <c r="M194" s="22"/>
    </row>
    <row r="195" spans="1:13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0"/>
      <c r="L195" s="20"/>
      <c r="M195" s="22"/>
    </row>
    <row r="196" spans="1:13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0"/>
      <c r="L196" s="20"/>
      <c r="M196" s="22"/>
    </row>
    <row r="197" spans="1:13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0"/>
      <c r="L197" s="20"/>
      <c r="M197" s="22"/>
    </row>
    <row r="198" spans="1:13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0"/>
      <c r="L198" s="20"/>
      <c r="M198" s="22"/>
    </row>
    <row r="199" spans="1:13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0"/>
      <c r="L199" s="20"/>
      <c r="M199" s="22"/>
    </row>
    <row r="200" spans="1:13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0"/>
      <c r="L200" s="20"/>
      <c r="M200" s="22"/>
    </row>
    <row r="201" spans="1:13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0"/>
      <c r="L201" s="20"/>
      <c r="M201" s="22"/>
    </row>
  </sheetData>
  <conditionalFormatting sqref="H2:H201">
    <cfRule type="cellIs" dxfId="0" priority="2" operator="equal">
      <formula>"A"</formula>
    </cfRule>
  </conditionalFormatting>
  <dataValidations count="3">
    <dataValidation type="list" allowBlank="1" sqref="H2:H201" xr:uid="{00000000-0002-0000-0700-000000000000}">
      <formula1>"A,B,C"</formula1>
      <formula2>0</formula2>
    </dataValidation>
    <dataValidation type="list" allowBlank="1" sqref="I2:I201" xr:uid="{00000000-0002-0000-0700-000001000000}">
      <formula1>"hoch,mittel,niedrig"</formula1>
      <formula2>0</formula2>
    </dataValidation>
    <dataValidation type="list" allowBlank="1" sqref="J2:J201" xr:uid="{00000000-0002-0000-0700-000002000000}">
      <formula1>"Neu,Bestätigt,In Arbeit,Behoben,Verifiziert,Geschlossen,Won't fix"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12" customWidth="1"/>
    <col min="3" max="3" width="16" customWidth="1"/>
    <col min="4" max="4" width="10" customWidth="1"/>
    <col min="5" max="5" width="8" customWidth="1"/>
    <col min="6" max="6" width="9" customWidth="1"/>
    <col min="7" max="7" width="30" customWidth="1"/>
    <col min="8" max="8" width="44" customWidth="1"/>
    <col min="9" max="13" width="10" customWidth="1"/>
    <col min="15" max="15" width="12" customWidth="1"/>
  </cols>
  <sheetData>
    <row r="1" spans="1:16" ht="31.5" customHeight="1" x14ac:dyDescent="0.3">
      <c r="A1" s="15" t="s">
        <v>153</v>
      </c>
      <c r="B1" s="15" t="s">
        <v>66</v>
      </c>
      <c r="C1" s="15" t="s">
        <v>154</v>
      </c>
      <c r="D1" s="15" t="s">
        <v>155</v>
      </c>
      <c r="E1" s="15" t="s">
        <v>132</v>
      </c>
      <c r="F1" s="15" t="s">
        <v>156</v>
      </c>
      <c r="G1" s="15" t="s">
        <v>157</v>
      </c>
      <c r="H1" s="15" t="s">
        <v>158</v>
      </c>
      <c r="I1" s="15" t="s">
        <v>159</v>
      </c>
      <c r="J1" s="15" t="s">
        <v>160</v>
      </c>
      <c r="K1" s="15" t="s">
        <v>161</v>
      </c>
      <c r="L1" s="15" t="s">
        <v>162</v>
      </c>
      <c r="M1" s="15" t="s">
        <v>163</v>
      </c>
      <c r="O1" s="35" t="s">
        <v>164</v>
      </c>
    </row>
    <row r="2" spans="1:16" ht="26.4" x14ac:dyDescent="0.3">
      <c r="A2" s="19" t="s">
        <v>88</v>
      </c>
      <c r="B2" s="19" t="s">
        <v>165</v>
      </c>
      <c r="C2" s="19" t="s">
        <v>166</v>
      </c>
      <c r="D2" s="19" t="s">
        <v>167</v>
      </c>
      <c r="E2" s="19" t="s">
        <v>168</v>
      </c>
      <c r="F2" s="19">
        <v>12</v>
      </c>
      <c r="G2" s="19" t="s">
        <v>169</v>
      </c>
      <c r="H2" s="19" t="s">
        <v>170</v>
      </c>
      <c r="I2" s="19" t="s">
        <v>171</v>
      </c>
      <c r="J2" s="19" t="s">
        <v>172</v>
      </c>
      <c r="K2" s="19">
        <v>4</v>
      </c>
      <c r="L2" s="19">
        <v>3</v>
      </c>
      <c r="M2" s="19">
        <v>5</v>
      </c>
      <c r="O2" t="s">
        <v>173</v>
      </c>
      <c r="P2" s="36">
        <f>IFERROR(AVERAGE(K2:K101),"")</f>
        <v>4</v>
      </c>
    </row>
    <row r="3" spans="1:16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O3" t="s">
        <v>174</v>
      </c>
      <c r="P3" s="36">
        <f>IFERROR(AVERAGE(L2:L101),"")</f>
        <v>3</v>
      </c>
    </row>
    <row r="4" spans="1:16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O4" t="s">
        <v>175</v>
      </c>
      <c r="P4" s="36">
        <f>IFERROR(AVERAGE(M2:M101),"")</f>
        <v>5</v>
      </c>
    </row>
    <row r="5" spans="1:16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6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6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6" x14ac:dyDescent="0.3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6" x14ac:dyDescent="0.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6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6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6" x14ac:dyDescent="0.3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6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6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6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6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1:13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1:13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spans="1:13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spans="1:13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1:13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1:13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1:13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 spans="1:13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 spans="1:13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 spans="1:13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1:13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1:13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spans="1:13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 spans="1:13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spans="1:13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1:13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1:13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spans="1:13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1:13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 spans="1:13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spans="1:13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 spans="1:13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spans="1:13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 spans="1:13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 spans="1:13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spans="1:13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spans="1:13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spans="1:13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1:13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1:13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1:13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1:13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1:13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1:13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1:13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1:13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1:13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1:13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1:13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 spans="1:13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spans="1:13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 spans="1:13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 spans="1:13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 spans="1:13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 spans="1:13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 spans="1:13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spans="1:13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spans="1:13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 spans="1:13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 spans="1:13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 spans="1:13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1:13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spans="1:13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spans="1:13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spans="1:13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 spans="1:13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1:13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 spans="1:13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  <row r="101" spans="1:13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</row>
  </sheetData>
  <dataValidations count="3">
    <dataValidation type="list" allowBlank="1" sqref="I2:I101" xr:uid="{00000000-0002-0000-0800-000000000000}">
      <formula1>"hoch,mittel,niedrig"</formula1>
      <formula2>0</formula2>
    </dataValidation>
    <dataValidation type="list" allowBlank="1" sqref="D2:D101" xr:uid="{00000000-0002-0000-0800-000001000000}">
      <formula1>"Peer,Extern,Hallway"</formula1>
      <formula2>0</formula2>
    </dataValidation>
    <dataValidation type="list" allowBlank="1" sqref="K2:M101" xr:uid="{00000000-0002-0000-0800-000002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Anleitung</vt:lpstr>
      <vt:lpstr>Übersicht</vt:lpstr>
      <vt:lpstr>Zeitlog</vt:lpstr>
      <vt:lpstr>Backlog</vt:lpstr>
      <vt:lpstr>Sprints</vt:lpstr>
      <vt:lpstr>Burndown</vt:lpstr>
      <vt:lpstr>Risiken</vt:lpstr>
      <vt:lpstr>Bugs</vt:lpstr>
      <vt:lpstr>Playtests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Eliana S.</cp:lastModifiedBy>
  <cp:revision>1</cp:revision>
  <dcterms:created xsi:type="dcterms:W3CDTF">2026-10-01T09:20:48Z</dcterms:created>
  <dcterms:modified xsi:type="dcterms:W3CDTF">2026-10-15T09:23:20Z</dcterms:modified>
  <dc:language>en-US</dc:language>
</cp:coreProperties>
</file>