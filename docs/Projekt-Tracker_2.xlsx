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Übersicht" sheetId="2" state="visible" r:id="rId4"/>
    <sheet name="Zeitlog" sheetId="3" state="visible" r:id="rId5"/>
    <sheet name="Backlog" sheetId="4" state="visible" r:id="rId6"/>
    <sheet name="Sprints" sheetId="5" state="visible" r:id="rId7"/>
    <sheet name="Burndown" sheetId="6" state="visible" r:id="rId8"/>
    <sheet name="Risiken" sheetId="7" state="visible" r:id="rId9"/>
    <sheet name="Bugs" sheetId="8" state="visible" r:id="rId10"/>
    <sheet name="Playtes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<sst xmlns="http://schemas.openxmlformats.org/spreadsheetml/2006/main" count="200" uniqueCount="178">
  <si>
    <t xml:space="preserve">Projekt-Tracker · Software Engineering and Game Technical Direction</t>
  </si>
  <si>
    <t xml:space="preserve">Vorlage für das Semesterprojekt (Studio of One). Ein Tracker für den gesamten Lebenszyklus.</t>
  </si>
  <si>
    <t xml:space="preserve">So verwenden Sie diese Datei</t>
  </si>
  <si>
    <t xml:space="preserve">• Gelb hinterlegte Zellen sind Eingabefelder. Weiße Zellen in den Datenblättern füllen Sie zeilenweise aus.</t>
  </si>
  <si>
    <t xml:space="preserve">• Grau-kursive Zeilen (ID „BSP“) sind Beispiele für das erwartete Format – überschreiben oder löschen Sie sie, da sie sonst in die Kennzahlen eingehen.</t>
  </si>
  <si>
    <t xml:space="preserve">• Spalten mit dunkelgrauer Schrift (z. B. PERT, Risikowert) werden automatisch berechnet – bitte nicht überschreiben.</t>
  </si>
  <si>
    <t xml:space="preserve">• Auswahllisten (Status, MoSCoW, Schweregrad …) sorgen für auswertbare Daten in der Übersicht.</t>
  </si>
  <si>
    <t xml:space="preserve">Blätter und zugehörige Übungen</t>
  </si>
  <si>
    <t xml:space="preserve">Übersicht – Kennzahlen des Projekts, u. a. Schätzgenauigkeit, Puffer und Zeit je Hut (Ü2, Ü14)</t>
  </si>
  <si>
    <t xml:space="preserve">Zeitlog – jede Arbeitssitzung ab Woche 1: Datum, Dauer, Hut, Tätigkeit/Story-ID; parallel zum Dev-Log (Ü1–Ü14)</t>
  </si>
  <si>
    <t xml:space="preserve">Backlog – User Stories, MoSCoW, Pillar-Bezug, GDD-Referenz (Traceability), Drei-Punkt-Schätzung, Ist-Aufwand, Cut List über Status „Gestrichen“ (Ü3, Ü4, Ü8)</t>
  </si>
  <si>
    <t xml:space="preserve">Sprints – Sprint-Ziele, Planung vs. Ist, automatisch aus dem Backlog (Ü8, Ü9, Ü11, Ü13)</t>
  </si>
  <si>
    <t xml:space="preserve">Burndown – verbleibende Stunden je Sprinttag mit Ideallinie und Diagramm (Ü8–Ü13)</t>
  </si>
  <si>
    <t xml:space="preserve">Risiken – Risikoregister: Wahrscheinlichkeit × Auswirkung, Maßnahmen, eingetreten ja/nein (Ü3, Ü8, Ü14)</t>
  </si>
  <si>
    <t xml:space="preserve">Bugs – Fehlerverwaltung mit Schweregrad, Priorität und Lebenszyklus (Ü10, Ü13)</t>
  </si>
  <si>
    <t xml:space="preserve">Playtests – Protokoll aller Playtests mit Befunden und Backlog-Bezug (Ü5, Ü11)</t>
  </si>
  <si>
    <t xml:space="preserve">Formeln</t>
  </si>
  <si>
    <t xml:space="preserve">PERT-Erwartungswert: E = (O + 4·M + P) / 6   ·   Risikowert = Wahrscheinlichkeit × Auswirkung (je 1–5)   ·   Schätzgenauigkeit = Σ Ist / Σ PERT der erledigten Stories (&gt; 1 = unterschätzt)</t>
  </si>
  <si>
    <t xml:space="preserve">Projektübersicht</t>
  </si>
  <si>
    <t xml:space="preserve">Eingaben gelb, alles andere wird berechnet.</t>
  </si>
  <si>
    <t xml:space="preserve">Projekt / Arbeitstitel</t>
  </si>
  <si>
    <t xml:space="preserve">Eingabe</t>
  </si>
  <si>
    <t xml:space="preserve">Engine</t>
  </si>
  <si>
    <t xml:space="preserve">Verfügbare Projektstunden (Semester)</t>
  </si>
  <si>
    <t xml:space="preserve">Workload des Moduls minus Präsenzzeit minus realistische Abzüge (Ü2)</t>
  </si>
  <si>
    <t xml:space="preserve">Zeit</t>
  </si>
  <si>
    <t xml:space="preserve">Geplante Stunden (PERT, ohne Gestrichene)</t>
  </si>
  <si>
    <t xml:space="preserve">Summe der PERT-Schätzungen</t>
  </si>
  <si>
    <t xml:space="preserve">Puffer (verfügbar − geplant)</t>
  </si>
  <si>
    <t xml:space="preserve">negativ = Scope reduzieren!</t>
  </si>
  <si>
    <t xml:space="preserve">Ist-Stunden auf Backlog-Stories</t>
  </si>
  <si>
    <t xml:space="preserve">ab Production (Ü8); Gesamtzeit siehe Zeitlog unten</t>
  </si>
  <si>
    <t xml:space="preserve">Schätzgenauigkeit (Ist / PERT, nur erledigte)</t>
  </si>
  <si>
    <t xml:space="preserve">&gt; 1 = unterschätzt; für das Postmortem (Ü14)</t>
  </si>
  <si>
    <t xml:space="preserve">Scope</t>
  </si>
  <si>
    <t xml:space="preserve">Stories gesamt</t>
  </si>
  <si>
    <t xml:space="preserve">Stories erledigt</t>
  </si>
  <si>
    <t xml:space="preserve">Stories gestrichen (Cut List)</t>
  </si>
  <si>
    <t xml:space="preserve">Anteil gestrichen</t>
  </si>
  <si>
    <t xml:space="preserve">Must-Stories erledigt</t>
  </si>
  <si>
    <t xml:space="preserve">Alpha-Kriterium: 100 %</t>
  </si>
  <si>
    <t xml:space="preserve">Qualität und Risiken</t>
  </si>
  <si>
    <t xml:space="preserve">Offene A-Bugs</t>
  </si>
  <si>
    <t xml:space="preserve">Release-Kriterium: 0</t>
  </si>
  <si>
    <t xml:space="preserve">Bugs gesamt</t>
  </si>
  <si>
    <t xml:space="preserve">Risiken mit Stufe „hoch“</t>
  </si>
  <si>
    <t xml:space="preserve">Eingetretene Risiken</t>
  </si>
  <si>
    <t xml:space="preserve">Playtests durchgeführt</t>
  </si>
  <si>
    <t xml:space="preserve">Ziel bis Alpha: ≥ 4</t>
  </si>
  <si>
    <t xml:space="preserve">Traceability (GDD ↔ Backlog)</t>
  </si>
  <si>
    <t xml:space="preserve">Stories mit GDD-Referenz oder „TD“</t>
  </si>
  <si>
    <t xml:space="preserve">Ziel: 100 %</t>
  </si>
  <si>
    <t xml:space="preserve">Must-Stories ohne Referenz</t>
  </si>
  <si>
    <t xml:space="preserve">Ziel: 0</t>
  </si>
  <si>
    <t xml:space="preserve">Zeit gesamt (Zeitlog, ab Woche 1)</t>
  </si>
  <si>
    <t xml:space="preserve">Gearbeitete Stunden gesamt</t>
  </si>
  <si>
    <t xml:space="preserve">alle Sitzungen laut Zeitlog</t>
  </si>
  <si>
    <t xml:space="preserve">Anteil am Zeitbudget</t>
  </si>
  <si>
    <t xml:space="preserve">Vergleich mit Semesterfortschritt</t>
  </si>
  <si>
    <t xml:space="preserve">Verbleibende Stunden</t>
  </si>
  <si>
    <t xml:space="preserve">Stunden: Producer</t>
  </si>
  <si>
    <t xml:space="preserve">Stunden: Game Designer</t>
  </si>
  <si>
    <t xml:space="preserve">Stunden: Technical Director</t>
  </si>
  <si>
    <t xml:space="preserve">Stunden: Programmer</t>
  </si>
  <si>
    <t xml:space="preserve">Stunden: QA</t>
  </si>
  <si>
    <t xml:space="preserve">Stunden: Einarbeitung / Lernen</t>
  </si>
  <si>
    <t xml:space="preserve">Datum</t>
  </si>
  <si>
    <t xml:space="preserve">Dauer (h)</t>
  </si>
  <si>
    <t xml:space="preserve">Hut</t>
  </si>
  <si>
    <t xml:space="preserve">Tätigkeit / Story-ID</t>
  </si>
  <si>
    <t xml:space="preserve">Eine Zeile pro Arbeitssitzung, parallel zum Dev-Log. Dauer in Stunden (z. B. 1,5). Wechselt der Hut innerhalb einer Sitzung, zwei Zeilen anlegen.</t>
  </si>
  <si>
    <t xml:space="preserve">2026-10-09</t>
  </si>
  <si>
    <t xml:space="preserve">Einarbeitung / Lernen</t>
  </si>
  <si>
    <t xml:space="preserve">BSP: Unity-Tutorial „Essentials“, Repository angelegt</t>
  </si>
  <si>
    <t xml:space="preserve">ID</t>
  </si>
  <si>
    <t xml:space="preserve">Epic</t>
  </si>
  <si>
    <t xml:space="preserve">User Story</t>
  </si>
  <si>
    <t xml:space="preserve">Akzeptanzkriterien</t>
  </si>
  <si>
    <t xml:space="preserve">Design Pillar</t>
  </si>
  <si>
    <t xml:space="preserve">MoSCoW</t>
  </si>
  <si>
    <t xml:space="preserve">Status</t>
  </si>
  <si>
    <t xml:space="preserve">Sprint</t>
  </si>
  <si>
    <t xml:space="preserve">O (h)</t>
  </si>
  <si>
    <t xml:space="preserve">M (h)</t>
  </si>
  <si>
    <t xml:space="preserve">P (h)</t>
  </si>
  <si>
    <t xml:space="preserve">PERT (h)</t>
  </si>
  <si>
    <t xml:space="preserve">Ist (h)</t>
  </si>
  <si>
    <t xml:space="preserve">Abweichung (h)</t>
  </si>
  <si>
    <t xml:space="preserve">Begründung bei „Gestrichen“ (Cut List)</t>
  </si>
  <si>
    <t xml:space="preserve">GDD-Referenz (Abschnitt oder „TD“)</t>
  </si>
  <si>
    <t xml:space="preserve">BSP</t>
  </si>
  <si>
    <t xml:space="preserve">Bewegung</t>
  </si>
  <si>
    <t xml:space="preserve">Als Spielerin möchte ich doppelt springen, damit ich höhere Plattformen erreiche.</t>
  </si>
  <si>
    <t xml:space="preserve">Zweiter Sprung nur in der Luft; Coyote Time 0,1 s; ≥ 4/5 Testpersonen bewerten Steuerung als präzise</t>
  </si>
  <si>
    <t xml:space="preserve">Präzise Bewegung</t>
  </si>
  <si>
    <t xml:space="preserve">Must</t>
  </si>
  <si>
    <t xml:space="preserve">Erledigt</t>
  </si>
  <si>
    <t xml:space="preserve">GDD 2.3 Bewegung</t>
  </si>
  <si>
    <t xml:space="preserve">Wochen</t>
  </si>
  <si>
    <t xml:space="preserve">Sprint-Ziel</t>
  </si>
  <si>
    <t xml:space="preserve">Verfügbar (h)</t>
  </si>
  <si>
    <t xml:space="preserve">Geplant PERT (h)</t>
  </si>
  <si>
    <t xml:space="preserve">Stories geplant</t>
  </si>
  <si>
    <t xml:space="preserve">Auslastung</t>
  </si>
  <si>
    <t xml:space="preserve">Ziel erreicht?</t>
  </si>
  <si>
    <t xml:space="preserve">Retro: wichtigste Maßnahme</t>
  </si>
  <si>
    <t xml:space="preserve">8–9</t>
  </si>
  <si>
    <t xml:space="preserve">10–11 (Alpha)</t>
  </si>
  <si>
    <t xml:space="preserve">12–13 (RC)</t>
  </si>
  <si>
    <t xml:space="preserve">Auslastung &gt; 100 % bedeutet: mehr geplant als verfügbar. Hinweis: Das Backlog verweist über die Spalte „Sprint“ (1–3) auf diese Tabelle.</t>
  </si>
  <si>
    <t xml:space="preserve">Sprint 1</t>
  </si>
  <si>
    <t xml:space="preserve">Sprint 2</t>
  </si>
  <si>
    <t xml:space="preserve">Sprint 3</t>
  </si>
  <si>
    <t xml:space="preserve">Start (h)</t>
  </si>
  <si>
    <t xml:space="preserve">Tag</t>
  </si>
  <si>
    <t xml:space="preserve">Ideal (h)</t>
  </si>
  <si>
    <t xml:space="preserve">Rest (h)</t>
  </si>
  <si>
    <t xml:space="preserve">Tragen Sie in „Rest (h)“ an jedem Sprinttag die verbleibenden geschätzten Stunden ein. Der Startwert wird aus dem Blatt „Sprints“ übernommen.</t>
  </si>
  <si>
    <t xml:space="preserve">Risiko</t>
  </si>
  <si>
    <t xml:space="preserve">Kategorie</t>
  </si>
  <si>
    <t xml:space="preserve">Wahrsch. (1–5)</t>
  </si>
  <si>
    <t xml:space="preserve">Auswirkung (1–5)</t>
  </si>
  <si>
    <t xml:space="preserve">Risikowert</t>
  </si>
  <si>
    <t xml:space="preserve">Stufe</t>
  </si>
  <si>
    <t xml:space="preserve">Strategie</t>
  </si>
  <si>
    <t xml:space="preserve">Maßnahme</t>
  </si>
  <si>
    <t xml:space="preserve">Eingetreten?</t>
  </si>
  <si>
    <t xml:space="preserve">Notiz / Datum</t>
  </si>
  <si>
    <t xml:space="preserve">Feature Creep: neue Ideen verdrängen Must-Stories</t>
  </si>
  <si>
    <t xml:space="preserve">Vermindern</t>
  </si>
  <si>
    <t xml:space="preserve">Cut List pflegen, one in – one out, Review je Sprint</t>
  </si>
  <si>
    <t xml:space="preserve">Aktiv</t>
  </si>
  <si>
    <t xml:space="preserve">Nein</t>
  </si>
  <si>
    <t xml:space="preserve">Titel</t>
  </si>
  <si>
    <t xml:space="preserve">Build</t>
  </si>
  <si>
    <t xml:space="preserve">Schritte zur Reproduktion</t>
  </si>
  <si>
    <t xml:space="preserve">Erwartet</t>
  </si>
  <si>
    <t xml:space="preserve">Tatsächlich</t>
  </si>
  <si>
    <t xml:space="preserve">Reproduzierbarkeit</t>
  </si>
  <si>
    <t xml:space="preserve">Schweregrad</t>
  </si>
  <si>
    <t xml:space="preserve">Priorität</t>
  </si>
  <si>
    <t xml:space="preserve">Gefunden am</t>
  </si>
  <si>
    <t xml:space="preserve">Behoben am</t>
  </si>
  <si>
    <t xml:space="preserve">Triage-Entscheidung / Notiz</t>
  </si>
  <si>
    <t xml:space="preserve">Spieler fällt nach Doppelsprung an Wandkante durch Boden</t>
  </si>
  <si>
    <t xml:space="preserve">0.4.2</t>
  </si>
  <si>
    <t xml:space="preserve">1. Level 2 starten 2. an linke Wand laufen 3. Doppelsprung</t>
  </si>
  <si>
    <t xml:space="preserve">Landung auf Plattform</t>
  </si>
  <si>
    <t xml:space="preserve">Fall ins Leere</t>
  </si>
  <si>
    <t xml:space="preserve">3/5</t>
  </si>
  <si>
    <t xml:space="preserve">A</t>
  </si>
  <si>
    <t xml:space="preserve">hoch</t>
  </si>
  <si>
    <t xml:space="preserve">In Arbeit</t>
  </si>
  <si>
    <t xml:space="preserve">2026-12-02</t>
  </si>
  <si>
    <t xml:space="preserve">vor Alpha beheben</t>
  </si>
  <si>
    <t xml:space="preserve">Nr.</t>
  </si>
  <si>
    <t xml:space="preserve">Testperson (Pseudonym)</t>
  </si>
  <si>
    <t xml:space="preserve">Typ</t>
  </si>
  <si>
    <t xml:space="preserve">Dauer (min)</t>
  </si>
  <si>
    <t xml:space="preserve">Forschungsfrage</t>
  </si>
  <si>
    <t xml:space="preserve">Beobachtung / Befund</t>
  </si>
  <si>
    <t xml:space="preserve">Schwere</t>
  </si>
  <si>
    <t xml:space="preserve">Backlog-ID</t>
  </si>
  <si>
    <t xml:space="preserve">Likert Pillar 1 (1–5)</t>
  </si>
  <si>
    <t xml:space="preserve">Likert Pillar 2 (1–5)</t>
  </si>
  <si>
    <t xml:space="preserve">Likert Pillar 3 (1–5)</t>
  </si>
  <si>
    <t xml:space="preserve">Mittelwerte</t>
  </si>
  <si>
    <t xml:space="preserve">2026-12-08</t>
  </si>
  <si>
    <t xml:space="preserve">T01</t>
  </si>
  <si>
    <t xml:space="preserve">Extern</t>
  </si>
  <si>
    <t xml:space="preserve">0.5.0</t>
  </si>
  <si>
    <t xml:space="preserve">Verstehen Spielende den Enterhaken ohne Erklärung?</t>
  </si>
  <si>
    <t xml:space="preserve">Enterhaken erst nach 3 min entdeckt; mehrfach Sprung statt Haken versucht</t>
  </si>
  <si>
    <t xml:space="preserve">mittel</t>
  </si>
  <si>
    <t xml:space="preserve">B-023</t>
  </si>
  <si>
    <t xml:space="preserve">Pillar 1</t>
  </si>
  <si>
    <t xml:space="preserve">Pillar 2</t>
  </si>
  <si>
    <t xml:space="preserve">Pillar 3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</si>
</sst>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"/>
    <numFmt numFmtId="166" formatCode="0.00"/>
    <numFmt numFmtId="167" formatCode="0"/>
    <numFmt numFmtId="168" formatCode="0%"/>
    <numFmt numFmtId="169" formatCode="yyyy\-mm\-dd"/>
    <numFmt numFmtId="170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F3B"/>
      <name val="Arial"/>
      <family val="0"/>
      <charset val="1"/>
    </font>
    <font>
      <sz val="11"/>
      <color rgb="FF5C6470"/>
      <name val="Arial"/>
      <family val="0"/>
      <charset val="1"/>
    </font>
    <font>
      <b val="true"/>
      <sz val="12"/>
      <color rgb="FF1B1F3B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4B5563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1"/>
      <color rgb="FF1B1F3B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6CC"/>
        <bgColor rgb="FFFCE7C8"/>
      </patternFill>
    </fill>
    <fill>
      <patternFill patternType="solid">
        <fgColor rgb="FF1B1F3B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8"/>
      </left>
      <right style="thin">
        <color rgb="FFC9CED8"/>
      </right>
      <top style="thin">
        <color rgb="FFC9CED8"/>
      </top>
      <bottom style="thin">
        <color rgb="FFC9CE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D0D0"/>
        </patternFill>
      </fill>
    </dxf>
    <dxf>
      <fill>
        <patternFill>
          <bgColor rgb="FFFCE7C8"/>
        </patternFill>
      </fill>
    </dxf>
    <dxf>
      <fill>
        <patternFill>
          <bgColor rgb="FFD7F0D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93366"/>
      <rgbColor rgb="FFFFF6CC"/>
      <rgbColor rgb="FFCCFFFF"/>
      <rgbColor rgb="FF660066"/>
      <rgbColor rgb="FFFF8080"/>
      <rgbColor rgb="FF0066CC"/>
      <rgbColor rgb="FFC9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F0DF"/>
      <rgbColor rgb="FFFCE7C8"/>
      <rgbColor rgb="FF99CCFF"/>
      <rgbColor rgb="FFFF99CC"/>
      <rgbColor rgb="FFCC99FF"/>
      <rgbColor rgb="FFF8D0D0"/>
      <rgbColor rgb="FF3366FF"/>
      <rgbColor rgb="FF33CCCC"/>
      <rgbColor rgb="FF99CC00"/>
      <rgbColor rgb="FFFFCC00"/>
      <rgbColor rgb="FFFF9900"/>
      <rgbColor rgb="FFE0621F"/>
      <rgbColor rgb="FF6B7280"/>
      <rgbColor rgb="FF9CA3AF"/>
      <rgbColor rgb="FF003366"/>
      <rgbColor rgb="FF5C6470"/>
      <rgbColor rgb="FF003300"/>
      <rgbColor rgb="FF333300"/>
      <rgbColor rgb="FF993300"/>
      <rgbColor rgb="FF993366"/>
      <rgbColor rgb="FF4B5563"/>
      <rgbColor rgb="FF1B1F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 (h)</c:v>
                </c:pt>
              </c:strCache>
            </c:strRef>
          </c:tx>
          <c:spPr>
            <a:solidFill>
              <a:srgbClr val="9ca3af"/>
            </a:solidFill>
            <a:ln w="2844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Burndown!$A$5:$A$19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Burndown!$B$5:$B$19</c:f>
              <c:numCache>
                <c:formatCode>0.0</c:formatCode>
                <c:ptCount val="15"/>
                <c:pt idx="0">
                  <c:v>4.33333333333333</c:v>
                </c:pt>
                <c:pt idx="1">
                  <c:v>4.02380952380952</c:v>
                </c:pt>
                <c:pt idx="2">
                  <c:v>3.71428571428571</c:v>
                </c:pt>
                <c:pt idx="3">
                  <c:v>3.4047619047619</c:v>
                </c:pt>
                <c:pt idx="4">
                  <c:v>3.0952380952381</c:v>
                </c:pt>
                <c:pt idx="5">
                  <c:v>2.78571428571429</c:v>
                </c:pt>
                <c:pt idx="6">
                  <c:v>2.47619047619048</c:v>
                </c:pt>
                <c:pt idx="7">
                  <c:v>2.16666666666667</c:v>
                </c:pt>
                <c:pt idx="8">
                  <c:v>1.85714285714286</c:v>
                </c:pt>
                <c:pt idx="9">
                  <c:v>1.54761904761905</c:v>
                </c:pt>
                <c:pt idx="10">
                  <c:v>1.23809523809524</c:v>
                </c:pt>
                <c:pt idx="11">
                  <c:v>0.928571428571429</c:v>
                </c:pt>
                <c:pt idx="12">
                  <c:v>0.619047619047619</c:v>
                </c:pt>
                <c:pt idx="13">
                  <c:v>0.309523809523809</c:v>
                </c:pt>
                <c:pt idx="1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Rest (h)</c:v>
                </c:pt>
              </c:strCache>
            </c:strRef>
          </c:tx>
          <c:spPr>
            <a:solidFill>
              <a:srgbClr val="e0621f"/>
            </a:solidFill>
            <a:ln w="28080">
              <a:solidFill>
                <a:srgbClr val="e0621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Burndown!$A$5:$A$19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Burndown!$C$5:$C$19</c:f>
              <c:numCache>
                <c:formatCode>General</c:formatCode>
                <c:ptCount val="15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7461832"/>
        <c:axId val="58019187"/>
      </c:lineChart>
      <c:catAx>
        <c:axId val="874618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019187"/>
        <c:crosses val="autoZero"/>
        <c:auto val="1"/>
        <c:lblAlgn val="ctr"/>
        <c:lblOffset val="100"/>
        <c:noMultiLvlLbl val="0"/>
      </c:catAx>
      <c:valAx>
        <c:axId val="580191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Stunden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4618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Burndown!G4</c:f>
              <c:strCache>
                <c:ptCount val="1"/>
                <c:pt idx="0">
                  <c:v>Ideal (h)</c:v>
                </c:pt>
              </c:strCache>
            </c:strRef>
          </c:tx>
          <c:spPr>
            <a:solidFill>
              <a:srgbClr val="9ca3af"/>
            </a:solidFill>
            <a:ln w="2844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Burndown!$F$5:$F$19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Burndown!$G$5:$G$19</c:f>
              <c:numCache>
                <c:formatCode>0.0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Burndown!H4</c:f>
              <c:strCache>
                <c:ptCount val="1"/>
                <c:pt idx="0">
                  <c:v>Rest (h)</c:v>
                </c:pt>
              </c:strCache>
            </c:strRef>
          </c:tx>
          <c:spPr>
            <a:solidFill>
              <a:srgbClr val="e0621f"/>
            </a:solidFill>
            <a:ln w="28080">
              <a:solidFill>
                <a:srgbClr val="e0621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Burndown!$F$5:$F$19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Burndown!$H$5:$H$19</c:f>
              <c:numCache>
                <c:formatCode>General</c:formatCode>
                <c:ptCount val="15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430258"/>
        <c:axId val="55993240"/>
      </c:lineChart>
      <c:catAx>
        <c:axId val="584302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993240"/>
        <c:crosses val="autoZero"/>
        <c:auto val="1"/>
        <c:lblAlgn val="ctr"/>
        <c:lblOffset val="100"/>
        <c:noMultiLvlLbl val="0"/>
      </c:catAx>
      <c:valAx>
        <c:axId val="559932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Stunden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43025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Sprint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Burndown!L4</c:f>
              <c:strCache>
                <c:ptCount val="1"/>
                <c:pt idx="0">
                  <c:v>Ideal (h)</c:v>
                </c:pt>
              </c:strCache>
            </c:strRef>
          </c:tx>
          <c:spPr>
            <a:solidFill>
              <a:srgbClr val="9ca3af"/>
            </a:solidFill>
            <a:ln w="2844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Burndown!$K$5:$K$19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Burndown!$L$5:$L$19</c:f>
              <c:numCache>
                <c:formatCode>0.0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Burndown!M4</c:f>
              <c:strCache>
                <c:ptCount val="1"/>
                <c:pt idx="0">
                  <c:v>Rest (h)</c:v>
                </c:pt>
              </c:strCache>
            </c:strRef>
          </c:tx>
          <c:spPr>
            <a:solidFill>
              <a:srgbClr val="e0621f"/>
            </a:solidFill>
            <a:ln w="28080">
              <a:solidFill>
                <a:srgbClr val="e0621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Burndown!$K$5:$K$19</c:f>
              <c:strCache>
                <c:ptCount val="1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</c:strCache>
            </c:strRef>
          </c:cat>
          <c:val>
            <c:numRef>
              <c:f>Burndown!$M$5:$M$19</c:f>
              <c:numCache>
                <c:formatCode>General</c:formatCode>
                <c:ptCount val="15"/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917487"/>
        <c:axId val="27926605"/>
      </c:lineChart>
      <c:catAx>
        <c:axId val="819174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Tag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926605"/>
        <c:crosses val="autoZero"/>
        <c:auto val="1"/>
        <c:lblAlgn val="ctr"/>
        <c:lblOffset val="100"/>
        <c:noMultiLvlLbl val="0"/>
      </c:catAx>
      <c:valAx>
        <c:axId val="279266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Stunden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91748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21</xdr:row>
      <xdr:rowOff>0</xdr:rowOff>
    </xdr:from>
    <xdr:to>
      <xdr:col>6</xdr:col>
      <xdr:colOff>277200</xdr:colOff>
      <xdr:row>34</xdr:row>
      <xdr:rowOff>43200</xdr:rowOff>
    </xdr:to>
    <xdr:graphicFrame>
      <xdr:nvGraphicFramePr>
        <xdr:cNvPr id="0" name="Chart 1"/>
        <xdr:cNvGraphicFramePr/>
      </xdr:nvGraphicFramePr>
      <xdr:xfrm>
        <a:off x="0" y="40006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21</xdr:row>
      <xdr:rowOff>0</xdr:rowOff>
    </xdr:from>
    <xdr:to>
      <xdr:col>11</xdr:col>
      <xdr:colOff>277200</xdr:colOff>
      <xdr:row>34</xdr:row>
      <xdr:rowOff>43200</xdr:rowOff>
    </xdr:to>
    <xdr:graphicFrame>
      <xdr:nvGraphicFramePr>
        <xdr:cNvPr id="1" name="Chart 2"/>
        <xdr:cNvGraphicFramePr/>
      </xdr:nvGraphicFramePr>
      <xdr:xfrm>
        <a:off x="3337560" y="40006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0</xdr:colOff>
      <xdr:row>21</xdr:row>
      <xdr:rowOff>0</xdr:rowOff>
    </xdr:from>
    <xdr:to>
      <xdr:col>16</xdr:col>
      <xdr:colOff>370440</xdr:colOff>
      <xdr:row>34</xdr:row>
      <xdr:rowOff>43200</xdr:rowOff>
    </xdr:to>
    <xdr:graphicFrame>
      <xdr:nvGraphicFramePr>
        <xdr:cNvPr id="2" name="Chart 3"/>
        <xdr:cNvGraphicFramePr/>
      </xdr:nvGraphicFramePr>
      <xdr:xfrm>
        <a:off x="6675120" y="400068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/>
    </row>
    <row r="5" customFormat="false" ht="15" hidden="false" customHeight="false" outlineLevel="0" collapsed="false">
      <c r="B5" s="4" t="s">
        <v>2</v>
      </c>
    </row>
    <row r="6" customFormat="false" ht="15" hidden="false" customHeight="false" outlineLevel="0" collapsed="false">
      <c r="B6" s="5" t="s">
        <v>3</v>
      </c>
    </row>
    <row r="7" customFormat="false" ht="23.8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3"/>
    </row>
    <row r="11" customFormat="false" ht="15" hidden="false" customHeight="false" outlineLevel="0" collapsed="false">
      <c r="B11" s="4" t="s">
        <v>7</v>
      </c>
    </row>
    <row r="12" customFormat="false" ht="15" hidden="false" customHeight="false" outlineLevel="0" collapsed="false">
      <c r="B12" s="5" t="s">
        <v>8</v>
      </c>
    </row>
    <row r="13" customFormat="false" ht="15" hidden="false" customHeight="false" outlineLevel="0" collapsed="false">
      <c r="B13" s="5" t="s">
        <v>9</v>
      </c>
    </row>
    <row r="14" customFormat="false" ht="23.85" hidden="false" customHeight="false" outlineLevel="0" collapsed="false">
      <c r="B14" s="5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0" customFormat="false" ht="15" hidden="false" customHeight="false" outlineLevel="0" collapsed="false">
      <c r="B20" s="3"/>
    </row>
    <row r="21" customFormat="false" ht="15" hidden="false" customHeight="false" outlineLevel="0" collapsed="false">
      <c r="B21" s="4" t="s">
        <v>16</v>
      </c>
    </row>
    <row r="22" customFormat="false" ht="23.85" hidden="false" customHeight="false" outlineLevel="0" collapsed="false">
      <c r="B22" s="5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60"/>
  </cols>
  <sheetData>
    <row r="2" customFormat="false" ht="19.7" hidden="false" customHeight="false" outlineLevel="0" collapsed="false">
      <c r="B2" s="6" t="s">
        <v>18</v>
      </c>
    </row>
    <row r="3" customFormat="false" ht="15" hidden="false" customHeight="false" outlineLevel="0" collapsed="false">
      <c r="B3" s="7" t="s">
        <v>19</v>
      </c>
    </row>
    <row r="5" customFormat="false" ht="15" hidden="false" customHeight="false" outlineLevel="0" collapsed="false">
      <c r="B5" s="8" t="s">
        <v>20</v>
      </c>
      <c r="C5" s="9"/>
      <c r="D5" s="7" t="s">
        <v>21</v>
      </c>
    </row>
    <row r="6" customFormat="false" ht="15" hidden="false" customHeight="false" outlineLevel="0" collapsed="false">
      <c r="B6" s="8" t="s">
        <v>22</v>
      </c>
      <c r="C6" s="9"/>
      <c r="D6" s="7" t="s">
        <v>21</v>
      </c>
    </row>
    <row r="7" customFormat="false" ht="15" hidden="false" customHeight="false" outlineLevel="0" collapsed="false">
      <c r="B7" s="8" t="s">
        <v>23</v>
      </c>
      <c r="C7" s="9"/>
      <c r="D7" s="7" t="s">
        <v>24</v>
      </c>
    </row>
    <row r="9" customFormat="false" ht="15" hidden="false" customHeight="false" outlineLevel="0" collapsed="false">
      <c r="B9" s="10" t="s">
        <v>25</v>
      </c>
    </row>
    <row r="10" customFormat="false" ht="15" hidden="false" customHeight="false" outlineLevel="0" collapsed="false">
      <c r="B10" s="8" t="s">
        <v>26</v>
      </c>
      <c r="C10" s="11" t="n">
        <f aca="false">SUMIFS(Backlog!L:L,Backlog!G:G,"&lt;&gt;Gestrichen")</f>
        <v>4.33333333333333</v>
      </c>
      <c r="D10" s="7" t="s">
        <v>27</v>
      </c>
    </row>
    <row r="11" customFormat="false" ht="15" hidden="false" customHeight="false" outlineLevel="0" collapsed="false">
      <c r="B11" s="8" t="s">
        <v>28</v>
      </c>
      <c r="C11" s="11" t="str">
        <f aca="false">IF(C7="","",C7-C10)</f>
        <v/>
      </c>
      <c r="D11" s="7" t="s">
        <v>29</v>
      </c>
    </row>
    <row r="12" customFormat="false" ht="15" hidden="false" customHeight="false" outlineLevel="0" collapsed="false">
      <c r="B12" s="8" t="s">
        <v>30</v>
      </c>
      <c r="C12" s="11" t="n">
        <f aca="false">SUM(Backlog!M:M)</f>
        <v>6</v>
      </c>
      <c r="D12" s="7" t="s">
        <v>31</v>
      </c>
    </row>
    <row r="13" customFormat="false" ht="15" hidden="false" customHeight="false" outlineLevel="0" collapsed="false">
      <c r="B13" s="8" t="s">
        <v>32</v>
      </c>
      <c r="C13" s="12" t="n">
        <f aca="false">IFERROR(SUMIFS(Backlog!M:M,Backlog!G:G,"Erledigt")/SUMIFS(Backlog!L:L,Backlog!G:G,"Erledigt"),"")</f>
        <v>1.38461538461538</v>
      </c>
      <c r="D13" s="7" t="s">
        <v>33</v>
      </c>
    </row>
    <row r="15" customFormat="false" ht="15" hidden="false" customHeight="false" outlineLevel="0" collapsed="false">
      <c r="B15" s="10" t="s">
        <v>34</v>
      </c>
    </row>
    <row r="16" customFormat="false" ht="15" hidden="false" customHeight="false" outlineLevel="0" collapsed="false">
      <c r="B16" s="8" t="s">
        <v>35</v>
      </c>
      <c r="C16" s="13" t="n">
        <f aca="false">COUNTA(Backlog!C2:C201)</f>
        <v>1</v>
      </c>
      <c r="D16" s="7"/>
    </row>
    <row r="17" customFormat="false" ht="15" hidden="false" customHeight="false" outlineLevel="0" collapsed="false">
      <c r="B17" s="8" t="s">
        <v>36</v>
      </c>
      <c r="C17" s="13" t="n">
        <f aca="false">COUNTIF(Backlog!G2:G201,"Erledigt")</f>
        <v>1</v>
      </c>
      <c r="D17" s="7"/>
    </row>
    <row r="18" customFormat="false" ht="15" hidden="false" customHeight="false" outlineLevel="0" collapsed="false">
      <c r="B18" s="8" t="s">
        <v>37</v>
      </c>
      <c r="C18" s="13" t="n">
        <f aca="false">COUNTIF(Backlog!G2:G201,"Gestrichen")</f>
        <v>0</v>
      </c>
      <c r="D18" s="7"/>
    </row>
    <row r="19" customFormat="false" ht="15" hidden="false" customHeight="false" outlineLevel="0" collapsed="false">
      <c r="B19" s="8" t="s">
        <v>38</v>
      </c>
      <c r="C19" s="14" t="n">
        <f aca="false">IFERROR(C18/C16,"")</f>
        <v>0</v>
      </c>
      <c r="D19" s="7"/>
    </row>
    <row r="20" customFormat="false" ht="15" hidden="false" customHeight="false" outlineLevel="0" collapsed="false">
      <c r="B20" s="8" t="s">
        <v>39</v>
      </c>
      <c r="C20" s="14" t="n">
        <f aca="false">IFERROR(COUNTIFS(Backlog!F2:F201,"Must",Backlog!G2:G201,"Erledigt")/COUNTIF(Backlog!F2:F201,"Must"),"")</f>
        <v>1</v>
      </c>
      <c r="D20" s="7" t="s">
        <v>40</v>
      </c>
    </row>
    <row r="22" customFormat="false" ht="15" hidden="false" customHeight="false" outlineLevel="0" collapsed="false">
      <c r="B22" s="10" t="s">
        <v>41</v>
      </c>
    </row>
    <row r="23" customFormat="false" ht="15" hidden="false" customHeight="false" outlineLevel="0" collapsed="false">
      <c r="B23" s="8" t="s">
        <v>42</v>
      </c>
      <c r="C23" s="13" t="n">
        <f aca="false">COUNTIFS(Bugs!H2:H201,"A",Bugs!J2:J201,"&lt;&gt;Verifiziert",Bugs!J2:J201,"&lt;&gt;Geschlossen",Bugs!J2:J201,"&lt;&gt;Won't fix")</f>
        <v>1</v>
      </c>
      <c r="D23" s="7" t="s">
        <v>43</v>
      </c>
    </row>
    <row r="24" customFormat="false" ht="15" hidden="false" customHeight="false" outlineLevel="0" collapsed="false">
      <c r="B24" s="8" t="s">
        <v>44</v>
      </c>
      <c r="C24" s="13" t="n">
        <f aca="false">COUNTA(Bugs!B2:B201)</f>
        <v>1</v>
      </c>
      <c r="D24" s="7"/>
    </row>
    <row r="25" customFormat="false" ht="15" hidden="false" customHeight="false" outlineLevel="0" collapsed="false">
      <c r="B25" s="8" t="s">
        <v>45</v>
      </c>
      <c r="C25" s="13" t="n">
        <f aca="false">COUNTIF(Risiken!F2:F61,"&gt;=15")</f>
        <v>1</v>
      </c>
      <c r="D25" s="7"/>
    </row>
    <row r="26" customFormat="false" ht="15" hidden="false" customHeight="false" outlineLevel="0" collapsed="false">
      <c r="B26" s="8" t="s">
        <v>46</v>
      </c>
      <c r="C26" s="13" t="n">
        <f aca="false">COUNTIF(Risiken!K2:K61,"Ja")</f>
        <v>0</v>
      </c>
      <c r="D26" s="7"/>
    </row>
    <row r="27" customFormat="false" ht="15" hidden="false" customHeight="false" outlineLevel="0" collapsed="false">
      <c r="B27" s="8" t="s">
        <v>47</v>
      </c>
      <c r="C27" s="13" t="n">
        <f aca="false">COUNTA(Playtests!C2:C101)</f>
        <v>1</v>
      </c>
      <c r="D27" s="7" t="s">
        <v>48</v>
      </c>
    </row>
    <row r="29" customFormat="false" ht="15" hidden="false" customHeight="false" outlineLevel="0" collapsed="false">
      <c r="B29" s="10" t="s">
        <v>49</v>
      </c>
    </row>
    <row r="30" customFormat="false" ht="15" hidden="false" customHeight="false" outlineLevel="0" collapsed="false">
      <c r="B30" s="8" t="s">
        <v>50</v>
      </c>
      <c r="C30" s="14" t="n">
        <f aca="false">IFERROR(COUNTA(Backlog!P2:P201)/C16,"")</f>
        <v>1</v>
      </c>
      <c r="D30" s="7" t="s">
        <v>51</v>
      </c>
    </row>
    <row r="31" customFormat="false" ht="15" hidden="false" customHeight="false" outlineLevel="0" collapsed="false">
      <c r="B31" s="8" t="s">
        <v>52</v>
      </c>
      <c r="C31" s="13" t="n">
        <f aca="false">COUNTIFS(Backlog!F2:F201,"Must",Backlog!P2:P201,"")</f>
        <v>0</v>
      </c>
      <c r="D31" s="7" t="s">
        <v>53</v>
      </c>
    </row>
    <row r="33" customFormat="false" ht="15" hidden="false" customHeight="false" outlineLevel="0" collapsed="false">
      <c r="B33" s="10" t="s">
        <v>54</v>
      </c>
    </row>
    <row r="34" customFormat="false" ht="15" hidden="false" customHeight="false" outlineLevel="0" collapsed="false">
      <c r="B34" s="8" t="s">
        <v>55</v>
      </c>
      <c r="C34" s="11" t="n">
        <f aca="false">SUM(Zeitlog!B2:B501)</f>
        <v>2.5</v>
      </c>
      <c r="D34" s="7" t="s">
        <v>56</v>
      </c>
    </row>
    <row r="35" customFormat="false" ht="15" hidden="false" customHeight="false" outlineLevel="0" collapsed="false">
      <c r="B35" s="8" t="s">
        <v>57</v>
      </c>
      <c r="C35" s="14" t="str">
        <f aca="false">IFERROR(C34/C7,"")</f>
        <v/>
      </c>
      <c r="D35" s="7" t="s">
        <v>58</v>
      </c>
    </row>
    <row r="36" customFormat="false" ht="15" hidden="false" customHeight="false" outlineLevel="0" collapsed="false">
      <c r="B36" s="8" t="s">
        <v>59</v>
      </c>
      <c r="C36" s="11" t="str">
        <f aca="false">IF(C7="","",C7-C34)</f>
        <v/>
      </c>
      <c r="D36" s="7"/>
    </row>
    <row r="37" customFormat="false" ht="15" hidden="false" customHeight="false" outlineLevel="0" collapsed="false">
      <c r="B37" s="8" t="s">
        <v>60</v>
      </c>
      <c r="C37" s="11" t="n">
        <f aca="false">SUMIF(Zeitlog!C2:C501,"Producer",Zeitlog!B2:B501)</f>
        <v>0</v>
      </c>
      <c r="D37" s="7" t="str">
        <f aca="false">IFERROR(TEXT(C37/$C$34,"0%")&amp;" der Gesamtzeit","")</f>
        <v>0% der Gesamtzeit</v>
      </c>
    </row>
    <row r="38" customFormat="false" ht="15" hidden="false" customHeight="false" outlineLevel="0" collapsed="false">
      <c r="B38" s="8" t="s">
        <v>61</v>
      </c>
      <c r="C38" s="11" t="n">
        <f aca="false">SUMIF(Zeitlog!C2:C501,"Game Designer",Zeitlog!B2:B501)</f>
        <v>0</v>
      </c>
      <c r="D38" s="7" t="str">
        <f aca="false">IFERROR(TEXT(C38/$C$34,"0%")&amp;" der Gesamtzeit","")</f>
        <v>0% der Gesamtzeit</v>
      </c>
    </row>
    <row r="39" customFormat="false" ht="15" hidden="false" customHeight="false" outlineLevel="0" collapsed="false">
      <c r="B39" s="8" t="s">
        <v>62</v>
      </c>
      <c r="C39" s="11" t="n">
        <f aca="false">SUMIF(Zeitlog!C2:C501,"Technical Director",Zeitlog!B2:B501)</f>
        <v>0</v>
      </c>
      <c r="D39" s="7" t="str">
        <f aca="false">IFERROR(TEXT(C39/$C$34,"0%")&amp;" der Gesamtzeit","")</f>
        <v>0% der Gesamtzeit</v>
      </c>
    </row>
    <row r="40" customFormat="false" ht="15" hidden="false" customHeight="false" outlineLevel="0" collapsed="false">
      <c r="B40" s="8" t="s">
        <v>63</v>
      </c>
      <c r="C40" s="11" t="n">
        <f aca="false">SUMIF(Zeitlog!C2:C501,"Programmer",Zeitlog!B2:B501)</f>
        <v>0</v>
      </c>
      <c r="D40" s="7" t="str">
        <f aca="false">IFERROR(TEXT(C40/$C$34,"0%")&amp;" der Gesamtzeit","")</f>
        <v>0% der Gesamtzeit</v>
      </c>
    </row>
    <row r="41" customFormat="false" ht="15" hidden="false" customHeight="false" outlineLevel="0" collapsed="false">
      <c r="B41" s="8" t="s">
        <v>64</v>
      </c>
      <c r="C41" s="11" t="n">
        <f aca="false">SUMIF(Zeitlog!C2:C501,"QA",Zeitlog!B2:B501)</f>
        <v>0</v>
      </c>
      <c r="D41" s="7" t="str">
        <f aca="false">IFERROR(TEXT(C41/$C$34,"0%")&amp;" der Gesamtzeit","")</f>
        <v>0% der Gesamtzeit</v>
      </c>
    </row>
    <row r="42" customFormat="false" ht="15" hidden="false" customHeight="false" outlineLevel="0" collapsed="false">
      <c r="B42" s="8" t="s">
        <v>65</v>
      </c>
      <c r="C42" s="11" t="n">
        <f aca="false">SUMIF(Zeitlog!C2:C501,"Einarbeitung / Lernen",Zeitlog!B2:B501)</f>
        <v>2.5</v>
      </c>
      <c r="D42" s="7" t="str">
        <f aca="false">IFERROR(TEXT(C42/$C$34,"0%")&amp;" der Gesamtzeit","")</f>
        <v>100% der Gesamtzeit</v>
      </c>
    </row>
  </sheetData>
  <conditionalFormatting sqref="C11">
    <cfRule type="cellIs" priority="2" operator="lessThan" aboveAverage="0" equalAverage="0" bottom="0" percent="0" rank="0" text="" dxfId="0">
      <formula>0</formula>
    </cfRule>
  </conditionalFormatting>
  <conditionalFormatting sqref="C23">
    <cfRule type="cellIs" priority="3" operator="greater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70"/>
    <col collapsed="false" customWidth="true" hidden="false" outlineLevel="0" max="6" min="6" style="0" width="50"/>
  </cols>
  <sheetData>
    <row r="1" customFormat="false" ht="31.5" hidden="false" customHeight="true" outlineLevel="0" collapsed="false">
      <c r="A1" s="15" t="s">
        <v>66</v>
      </c>
      <c r="B1" s="15" t="s">
        <v>67</v>
      </c>
      <c r="C1" s="15" t="s">
        <v>68</v>
      </c>
      <c r="D1" s="15" t="s">
        <v>69</v>
      </c>
      <c r="F1" s="16" t="s">
        <v>70</v>
      </c>
    </row>
    <row r="2" customFormat="false" ht="15" hidden="false" customHeight="false" outlineLevel="0" collapsed="false">
      <c r="A2" s="17" t="s">
        <v>71</v>
      </c>
      <c r="B2" s="18" t="n">
        <v>2.5</v>
      </c>
      <c r="C2" s="19" t="s">
        <v>72</v>
      </c>
      <c r="D2" s="19" t="s">
        <v>73</v>
      </c>
    </row>
    <row r="3" customFormat="false" ht="15" hidden="false" customHeight="false" outlineLevel="0" collapsed="false">
      <c r="A3" s="20"/>
      <c r="B3" s="21"/>
      <c r="C3" s="22"/>
      <c r="D3" s="22"/>
    </row>
    <row r="4" customFormat="false" ht="15" hidden="false" customHeight="false" outlineLevel="0" collapsed="false">
      <c r="A4" s="20"/>
      <c r="B4" s="21"/>
      <c r="C4" s="22"/>
      <c r="D4" s="22"/>
    </row>
    <row r="5" customFormat="false" ht="15" hidden="false" customHeight="false" outlineLevel="0" collapsed="false">
      <c r="A5" s="20"/>
      <c r="B5" s="21"/>
      <c r="C5" s="22"/>
      <c r="D5" s="22"/>
    </row>
    <row r="6" customFormat="false" ht="15" hidden="false" customHeight="false" outlineLevel="0" collapsed="false">
      <c r="A6" s="20"/>
      <c r="B6" s="21"/>
      <c r="C6" s="22"/>
      <c r="D6" s="22"/>
    </row>
    <row r="7" customFormat="false" ht="15" hidden="false" customHeight="false" outlineLevel="0" collapsed="false">
      <c r="A7" s="20"/>
      <c r="B7" s="21"/>
      <c r="C7" s="22"/>
      <c r="D7" s="22"/>
    </row>
    <row r="8" customFormat="false" ht="15" hidden="false" customHeight="false" outlineLevel="0" collapsed="false">
      <c r="A8" s="20"/>
      <c r="B8" s="21"/>
      <c r="C8" s="22"/>
      <c r="D8" s="22"/>
    </row>
    <row r="9" customFormat="false" ht="15" hidden="false" customHeight="false" outlineLevel="0" collapsed="false">
      <c r="A9" s="20"/>
      <c r="B9" s="21"/>
      <c r="C9" s="22"/>
      <c r="D9" s="22"/>
    </row>
    <row r="10" customFormat="false" ht="15" hidden="false" customHeight="false" outlineLevel="0" collapsed="false">
      <c r="A10" s="20"/>
      <c r="B10" s="21"/>
      <c r="C10" s="22"/>
      <c r="D10" s="22"/>
    </row>
    <row r="11" customFormat="false" ht="15" hidden="false" customHeight="false" outlineLevel="0" collapsed="false">
      <c r="A11" s="20"/>
      <c r="B11" s="21"/>
      <c r="C11" s="22"/>
      <c r="D11" s="22"/>
    </row>
    <row r="12" customFormat="false" ht="15" hidden="false" customHeight="false" outlineLevel="0" collapsed="false">
      <c r="A12" s="20"/>
      <c r="B12" s="21"/>
      <c r="C12" s="22"/>
      <c r="D12" s="22"/>
    </row>
    <row r="13" customFormat="false" ht="15" hidden="false" customHeight="false" outlineLevel="0" collapsed="false">
      <c r="A13" s="20"/>
      <c r="B13" s="21"/>
      <c r="C13" s="22"/>
      <c r="D13" s="22"/>
    </row>
    <row r="14" customFormat="false" ht="15" hidden="false" customHeight="false" outlineLevel="0" collapsed="false">
      <c r="A14" s="20"/>
      <c r="B14" s="21"/>
      <c r="C14" s="22"/>
      <c r="D14" s="22"/>
    </row>
    <row r="15" customFormat="false" ht="15" hidden="false" customHeight="false" outlineLevel="0" collapsed="false">
      <c r="A15" s="20"/>
      <c r="B15" s="21"/>
      <c r="C15" s="22"/>
      <c r="D15" s="22"/>
    </row>
    <row r="16" customFormat="false" ht="15" hidden="false" customHeight="false" outlineLevel="0" collapsed="false">
      <c r="A16" s="20"/>
      <c r="B16" s="21"/>
      <c r="C16" s="22"/>
      <c r="D16" s="22"/>
    </row>
    <row r="17" customFormat="false" ht="15" hidden="false" customHeight="false" outlineLevel="0" collapsed="false">
      <c r="A17" s="20"/>
      <c r="B17" s="21"/>
      <c r="C17" s="22"/>
      <c r="D17" s="22"/>
    </row>
    <row r="18" customFormat="false" ht="15" hidden="false" customHeight="false" outlineLevel="0" collapsed="false">
      <c r="A18" s="20"/>
      <c r="B18" s="21"/>
      <c r="C18" s="22"/>
      <c r="D18" s="22"/>
    </row>
    <row r="19" customFormat="false" ht="15" hidden="false" customHeight="false" outlineLevel="0" collapsed="false">
      <c r="A19" s="20"/>
      <c r="B19" s="21"/>
      <c r="C19" s="22"/>
      <c r="D19" s="22"/>
    </row>
    <row r="20" customFormat="false" ht="15" hidden="false" customHeight="false" outlineLevel="0" collapsed="false">
      <c r="A20" s="20"/>
      <c r="B20" s="21"/>
      <c r="C20" s="22"/>
      <c r="D20" s="22"/>
    </row>
    <row r="21" customFormat="false" ht="15" hidden="false" customHeight="false" outlineLevel="0" collapsed="false">
      <c r="A21" s="20"/>
      <c r="B21" s="21"/>
      <c r="C21" s="22"/>
      <c r="D21" s="22"/>
    </row>
    <row r="22" customFormat="false" ht="15" hidden="false" customHeight="false" outlineLevel="0" collapsed="false">
      <c r="A22" s="20"/>
      <c r="B22" s="21"/>
      <c r="C22" s="22"/>
      <c r="D22" s="22"/>
    </row>
    <row r="23" customFormat="false" ht="15" hidden="false" customHeight="false" outlineLevel="0" collapsed="false">
      <c r="A23" s="20"/>
      <c r="B23" s="21"/>
      <c r="C23" s="22"/>
      <c r="D23" s="22"/>
    </row>
    <row r="24" customFormat="false" ht="15" hidden="false" customHeight="false" outlineLevel="0" collapsed="false">
      <c r="A24" s="20"/>
      <c r="B24" s="21"/>
      <c r="C24" s="22"/>
      <c r="D24" s="22"/>
    </row>
    <row r="25" customFormat="false" ht="15" hidden="false" customHeight="false" outlineLevel="0" collapsed="false">
      <c r="A25" s="20"/>
      <c r="B25" s="21"/>
      <c r="C25" s="22"/>
      <c r="D25" s="22"/>
    </row>
    <row r="26" customFormat="false" ht="15" hidden="false" customHeight="false" outlineLevel="0" collapsed="false">
      <c r="A26" s="20"/>
      <c r="B26" s="21"/>
      <c r="C26" s="22"/>
      <c r="D26" s="22"/>
    </row>
    <row r="27" customFormat="false" ht="15" hidden="false" customHeight="false" outlineLevel="0" collapsed="false">
      <c r="A27" s="20"/>
      <c r="B27" s="21"/>
      <c r="C27" s="22"/>
      <c r="D27" s="22"/>
    </row>
    <row r="28" customFormat="false" ht="15" hidden="false" customHeight="false" outlineLevel="0" collapsed="false">
      <c r="A28" s="20"/>
      <c r="B28" s="21"/>
      <c r="C28" s="22"/>
      <c r="D28" s="22"/>
    </row>
    <row r="29" customFormat="false" ht="15" hidden="false" customHeight="false" outlineLevel="0" collapsed="false">
      <c r="A29" s="20"/>
      <c r="B29" s="21"/>
      <c r="C29" s="22"/>
      <c r="D29" s="22"/>
    </row>
    <row r="30" customFormat="false" ht="15" hidden="false" customHeight="false" outlineLevel="0" collapsed="false">
      <c r="A30" s="20"/>
      <c r="B30" s="21"/>
      <c r="C30" s="22"/>
      <c r="D30" s="22"/>
    </row>
    <row r="31" customFormat="false" ht="15" hidden="false" customHeight="false" outlineLevel="0" collapsed="false">
      <c r="A31" s="20"/>
      <c r="B31" s="21"/>
      <c r="C31" s="22"/>
      <c r="D31" s="22"/>
    </row>
    <row r="32" customFormat="false" ht="15" hidden="false" customHeight="false" outlineLevel="0" collapsed="false">
      <c r="A32" s="20"/>
      <c r="B32" s="21"/>
      <c r="C32" s="22"/>
      <c r="D32" s="22"/>
    </row>
    <row r="33" customFormat="false" ht="15" hidden="false" customHeight="false" outlineLevel="0" collapsed="false">
      <c r="A33" s="20"/>
      <c r="B33" s="21"/>
      <c r="C33" s="22"/>
      <c r="D33" s="22"/>
    </row>
    <row r="34" customFormat="false" ht="15" hidden="false" customHeight="false" outlineLevel="0" collapsed="false">
      <c r="A34" s="20"/>
      <c r="B34" s="21"/>
      <c r="C34" s="22"/>
      <c r="D34" s="22"/>
    </row>
    <row r="35" customFormat="false" ht="15" hidden="false" customHeight="false" outlineLevel="0" collapsed="false">
      <c r="A35" s="20"/>
      <c r="B35" s="21"/>
      <c r="C35" s="22"/>
      <c r="D35" s="22"/>
    </row>
    <row r="36" customFormat="false" ht="15" hidden="false" customHeight="false" outlineLevel="0" collapsed="false">
      <c r="A36" s="20"/>
      <c r="B36" s="21"/>
      <c r="C36" s="22"/>
      <c r="D36" s="22"/>
    </row>
    <row r="37" customFormat="false" ht="15" hidden="false" customHeight="false" outlineLevel="0" collapsed="false">
      <c r="A37" s="20"/>
      <c r="B37" s="21"/>
      <c r="C37" s="22"/>
      <c r="D37" s="22"/>
    </row>
    <row r="38" customFormat="false" ht="15" hidden="false" customHeight="false" outlineLevel="0" collapsed="false">
      <c r="A38" s="20"/>
      <c r="B38" s="21"/>
      <c r="C38" s="22"/>
      <c r="D38" s="22"/>
    </row>
    <row r="39" customFormat="false" ht="15" hidden="false" customHeight="false" outlineLevel="0" collapsed="false">
      <c r="A39" s="20"/>
      <c r="B39" s="21"/>
      <c r="C39" s="22"/>
      <c r="D39" s="22"/>
    </row>
    <row r="40" customFormat="false" ht="15" hidden="false" customHeight="false" outlineLevel="0" collapsed="false">
      <c r="A40" s="20"/>
      <c r="B40" s="21"/>
      <c r="C40" s="22"/>
      <c r="D40" s="22"/>
    </row>
    <row r="41" customFormat="false" ht="15" hidden="false" customHeight="false" outlineLevel="0" collapsed="false">
      <c r="A41" s="20"/>
      <c r="B41" s="21"/>
      <c r="C41" s="22"/>
      <c r="D41" s="22"/>
    </row>
    <row r="42" customFormat="false" ht="15" hidden="false" customHeight="false" outlineLevel="0" collapsed="false">
      <c r="A42" s="20"/>
      <c r="B42" s="21"/>
      <c r="C42" s="22"/>
      <c r="D42" s="22"/>
    </row>
    <row r="43" customFormat="false" ht="15" hidden="false" customHeight="false" outlineLevel="0" collapsed="false">
      <c r="A43" s="20"/>
      <c r="B43" s="21"/>
      <c r="C43" s="22"/>
      <c r="D43" s="22"/>
    </row>
    <row r="44" customFormat="false" ht="15" hidden="false" customHeight="false" outlineLevel="0" collapsed="false">
      <c r="A44" s="20"/>
      <c r="B44" s="21"/>
      <c r="C44" s="22"/>
      <c r="D44" s="22"/>
    </row>
    <row r="45" customFormat="false" ht="15" hidden="false" customHeight="false" outlineLevel="0" collapsed="false">
      <c r="A45" s="20"/>
      <c r="B45" s="21"/>
      <c r="C45" s="22"/>
      <c r="D45" s="22"/>
    </row>
    <row r="46" customFormat="false" ht="15" hidden="false" customHeight="false" outlineLevel="0" collapsed="false">
      <c r="A46" s="20"/>
      <c r="B46" s="21"/>
      <c r="C46" s="22"/>
      <c r="D46" s="22"/>
    </row>
    <row r="47" customFormat="false" ht="15" hidden="false" customHeight="false" outlineLevel="0" collapsed="false">
      <c r="A47" s="20"/>
      <c r="B47" s="21"/>
      <c r="C47" s="22"/>
      <c r="D47" s="22"/>
    </row>
    <row r="48" customFormat="false" ht="15" hidden="false" customHeight="false" outlineLevel="0" collapsed="false">
      <c r="A48" s="20"/>
      <c r="B48" s="21"/>
      <c r="C48" s="22"/>
      <c r="D48" s="22"/>
    </row>
    <row r="49" customFormat="false" ht="15" hidden="false" customHeight="false" outlineLevel="0" collapsed="false">
      <c r="A49" s="20"/>
      <c r="B49" s="21"/>
      <c r="C49" s="22"/>
      <c r="D49" s="22"/>
    </row>
    <row r="50" customFormat="false" ht="15" hidden="false" customHeight="false" outlineLevel="0" collapsed="false">
      <c r="A50" s="20"/>
      <c r="B50" s="21"/>
      <c r="C50" s="22"/>
      <c r="D50" s="22"/>
    </row>
    <row r="51" customFormat="false" ht="15" hidden="false" customHeight="false" outlineLevel="0" collapsed="false">
      <c r="A51" s="20"/>
      <c r="B51" s="21"/>
      <c r="C51" s="22"/>
      <c r="D51" s="22"/>
    </row>
    <row r="52" customFormat="false" ht="15" hidden="false" customHeight="false" outlineLevel="0" collapsed="false">
      <c r="A52" s="20"/>
      <c r="B52" s="21"/>
      <c r="C52" s="22"/>
      <c r="D52" s="22"/>
    </row>
    <row r="53" customFormat="false" ht="15" hidden="false" customHeight="false" outlineLevel="0" collapsed="false">
      <c r="A53" s="20"/>
      <c r="B53" s="21"/>
      <c r="C53" s="22"/>
      <c r="D53" s="22"/>
    </row>
    <row r="54" customFormat="false" ht="15" hidden="false" customHeight="false" outlineLevel="0" collapsed="false">
      <c r="A54" s="20"/>
      <c r="B54" s="21"/>
      <c r="C54" s="22"/>
      <c r="D54" s="22"/>
    </row>
    <row r="55" customFormat="false" ht="15" hidden="false" customHeight="false" outlineLevel="0" collapsed="false">
      <c r="A55" s="20"/>
      <c r="B55" s="21"/>
      <c r="C55" s="22"/>
      <c r="D55" s="22"/>
    </row>
    <row r="56" customFormat="false" ht="15" hidden="false" customHeight="false" outlineLevel="0" collapsed="false">
      <c r="A56" s="20"/>
      <c r="B56" s="21"/>
      <c r="C56" s="22"/>
      <c r="D56" s="22"/>
    </row>
    <row r="57" customFormat="false" ht="15" hidden="false" customHeight="false" outlineLevel="0" collapsed="false">
      <c r="A57" s="20"/>
      <c r="B57" s="21"/>
      <c r="C57" s="22"/>
      <c r="D57" s="22"/>
    </row>
    <row r="58" customFormat="false" ht="15" hidden="false" customHeight="false" outlineLevel="0" collapsed="false">
      <c r="A58" s="20"/>
      <c r="B58" s="21"/>
      <c r="C58" s="22"/>
      <c r="D58" s="22"/>
    </row>
    <row r="59" customFormat="false" ht="15" hidden="false" customHeight="false" outlineLevel="0" collapsed="false">
      <c r="A59" s="20"/>
      <c r="B59" s="21"/>
      <c r="C59" s="22"/>
      <c r="D59" s="22"/>
    </row>
    <row r="60" customFormat="false" ht="15" hidden="false" customHeight="false" outlineLevel="0" collapsed="false">
      <c r="A60" s="20"/>
      <c r="B60" s="21"/>
      <c r="C60" s="22"/>
      <c r="D60" s="22"/>
    </row>
    <row r="61" customFormat="false" ht="15" hidden="false" customHeight="false" outlineLevel="0" collapsed="false">
      <c r="A61" s="20"/>
      <c r="B61" s="21"/>
      <c r="C61" s="22"/>
      <c r="D61" s="22"/>
    </row>
    <row r="62" customFormat="false" ht="15" hidden="false" customHeight="false" outlineLevel="0" collapsed="false">
      <c r="A62" s="20"/>
      <c r="B62" s="21"/>
      <c r="C62" s="22"/>
      <c r="D62" s="22"/>
    </row>
    <row r="63" customFormat="false" ht="15" hidden="false" customHeight="false" outlineLevel="0" collapsed="false">
      <c r="A63" s="20"/>
      <c r="B63" s="21"/>
      <c r="C63" s="22"/>
      <c r="D63" s="22"/>
    </row>
    <row r="64" customFormat="false" ht="15" hidden="false" customHeight="false" outlineLevel="0" collapsed="false">
      <c r="A64" s="20"/>
      <c r="B64" s="21"/>
      <c r="C64" s="22"/>
      <c r="D64" s="22"/>
    </row>
    <row r="65" customFormat="false" ht="15" hidden="false" customHeight="false" outlineLevel="0" collapsed="false">
      <c r="A65" s="20"/>
      <c r="B65" s="21"/>
      <c r="C65" s="22"/>
      <c r="D65" s="22"/>
    </row>
    <row r="66" customFormat="false" ht="15" hidden="false" customHeight="false" outlineLevel="0" collapsed="false">
      <c r="A66" s="20"/>
      <c r="B66" s="21"/>
      <c r="C66" s="22"/>
      <c r="D66" s="22"/>
    </row>
    <row r="67" customFormat="false" ht="15" hidden="false" customHeight="false" outlineLevel="0" collapsed="false">
      <c r="A67" s="20"/>
      <c r="B67" s="21"/>
      <c r="C67" s="22"/>
      <c r="D67" s="22"/>
    </row>
    <row r="68" customFormat="false" ht="15" hidden="false" customHeight="false" outlineLevel="0" collapsed="false">
      <c r="A68" s="20"/>
      <c r="B68" s="21"/>
      <c r="C68" s="22"/>
      <c r="D68" s="22"/>
    </row>
    <row r="69" customFormat="false" ht="15" hidden="false" customHeight="false" outlineLevel="0" collapsed="false">
      <c r="A69" s="20"/>
      <c r="B69" s="21"/>
      <c r="C69" s="22"/>
      <c r="D69" s="22"/>
    </row>
    <row r="70" customFormat="false" ht="15" hidden="false" customHeight="false" outlineLevel="0" collapsed="false">
      <c r="A70" s="20"/>
      <c r="B70" s="21"/>
      <c r="C70" s="22"/>
      <c r="D70" s="22"/>
    </row>
    <row r="71" customFormat="false" ht="15" hidden="false" customHeight="false" outlineLevel="0" collapsed="false">
      <c r="A71" s="20"/>
      <c r="B71" s="21"/>
      <c r="C71" s="22"/>
      <c r="D71" s="22"/>
    </row>
    <row r="72" customFormat="false" ht="15" hidden="false" customHeight="false" outlineLevel="0" collapsed="false">
      <c r="A72" s="20"/>
      <c r="B72" s="21"/>
      <c r="C72" s="22"/>
      <c r="D72" s="22"/>
    </row>
    <row r="73" customFormat="false" ht="15" hidden="false" customHeight="false" outlineLevel="0" collapsed="false">
      <c r="A73" s="20"/>
      <c r="B73" s="21"/>
      <c r="C73" s="22"/>
      <c r="D73" s="22"/>
    </row>
    <row r="74" customFormat="false" ht="15" hidden="false" customHeight="false" outlineLevel="0" collapsed="false">
      <c r="A74" s="20"/>
      <c r="B74" s="21"/>
      <c r="C74" s="22"/>
      <c r="D74" s="22"/>
    </row>
    <row r="75" customFormat="false" ht="15" hidden="false" customHeight="false" outlineLevel="0" collapsed="false">
      <c r="A75" s="20"/>
      <c r="B75" s="21"/>
      <c r="C75" s="22"/>
      <c r="D75" s="22"/>
    </row>
    <row r="76" customFormat="false" ht="15" hidden="false" customHeight="false" outlineLevel="0" collapsed="false">
      <c r="A76" s="20"/>
      <c r="B76" s="21"/>
      <c r="C76" s="22"/>
      <c r="D76" s="22"/>
    </row>
    <row r="77" customFormat="false" ht="15" hidden="false" customHeight="false" outlineLevel="0" collapsed="false">
      <c r="A77" s="20"/>
      <c r="B77" s="21"/>
      <c r="C77" s="22"/>
      <c r="D77" s="22"/>
    </row>
    <row r="78" customFormat="false" ht="15" hidden="false" customHeight="false" outlineLevel="0" collapsed="false">
      <c r="A78" s="20"/>
      <c r="B78" s="21"/>
      <c r="C78" s="22"/>
      <c r="D78" s="22"/>
    </row>
    <row r="79" customFormat="false" ht="15" hidden="false" customHeight="false" outlineLevel="0" collapsed="false">
      <c r="A79" s="20"/>
      <c r="B79" s="21"/>
      <c r="C79" s="22"/>
      <c r="D79" s="22"/>
    </row>
    <row r="80" customFormat="false" ht="15" hidden="false" customHeight="false" outlineLevel="0" collapsed="false">
      <c r="A80" s="20"/>
      <c r="B80" s="21"/>
      <c r="C80" s="22"/>
      <c r="D80" s="22"/>
    </row>
    <row r="81" customFormat="false" ht="15" hidden="false" customHeight="false" outlineLevel="0" collapsed="false">
      <c r="A81" s="20"/>
      <c r="B81" s="21"/>
      <c r="C81" s="22"/>
      <c r="D81" s="22"/>
    </row>
    <row r="82" customFormat="false" ht="15" hidden="false" customHeight="false" outlineLevel="0" collapsed="false">
      <c r="A82" s="20"/>
      <c r="B82" s="21"/>
      <c r="C82" s="22"/>
      <c r="D82" s="22"/>
    </row>
    <row r="83" customFormat="false" ht="15" hidden="false" customHeight="false" outlineLevel="0" collapsed="false">
      <c r="A83" s="20"/>
      <c r="B83" s="21"/>
      <c r="C83" s="22"/>
      <c r="D83" s="22"/>
    </row>
    <row r="84" customFormat="false" ht="15" hidden="false" customHeight="false" outlineLevel="0" collapsed="false">
      <c r="A84" s="20"/>
      <c r="B84" s="21"/>
      <c r="C84" s="22"/>
      <c r="D84" s="22"/>
    </row>
    <row r="85" customFormat="false" ht="15" hidden="false" customHeight="false" outlineLevel="0" collapsed="false">
      <c r="A85" s="20"/>
      <c r="B85" s="21"/>
      <c r="C85" s="22"/>
      <c r="D85" s="22"/>
    </row>
    <row r="86" customFormat="false" ht="15" hidden="false" customHeight="false" outlineLevel="0" collapsed="false">
      <c r="A86" s="20"/>
      <c r="B86" s="21"/>
      <c r="C86" s="22"/>
      <c r="D86" s="22"/>
    </row>
    <row r="87" customFormat="false" ht="15" hidden="false" customHeight="false" outlineLevel="0" collapsed="false">
      <c r="A87" s="20"/>
      <c r="B87" s="21"/>
      <c r="C87" s="22"/>
      <c r="D87" s="22"/>
    </row>
    <row r="88" customFormat="false" ht="15" hidden="false" customHeight="false" outlineLevel="0" collapsed="false">
      <c r="A88" s="20"/>
      <c r="B88" s="21"/>
      <c r="C88" s="22"/>
      <c r="D88" s="22"/>
    </row>
    <row r="89" customFormat="false" ht="15" hidden="false" customHeight="false" outlineLevel="0" collapsed="false">
      <c r="A89" s="20"/>
      <c r="B89" s="21"/>
      <c r="C89" s="22"/>
      <c r="D89" s="22"/>
    </row>
    <row r="90" customFormat="false" ht="15" hidden="false" customHeight="false" outlineLevel="0" collapsed="false">
      <c r="A90" s="20"/>
      <c r="B90" s="21"/>
      <c r="C90" s="22"/>
      <c r="D90" s="22"/>
    </row>
    <row r="91" customFormat="false" ht="15" hidden="false" customHeight="false" outlineLevel="0" collapsed="false">
      <c r="A91" s="20"/>
      <c r="B91" s="21"/>
      <c r="C91" s="22"/>
      <c r="D91" s="22"/>
    </row>
    <row r="92" customFormat="false" ht="15" hidden="false" customHeight="false" outlineLevel="0" collapsed="false">
      <c r="A92" s="20"/>
      <c r="B92" s="21"/>
      <c r="C92" s="22"/>
      <c r="D92" s="22"/>
    </row>
    <row r="93" customFormat="false" ht="15" hidden="false" customHeight="false" outlineLevel="0" collapsed="false">
      <c r="A93" s="20"/>
      <c r="B93" s="21"/>
      <c r="C93" s="22"/>
      <c r="D93" s="22"/>
    </row>
    <row r="94" customFormat="false" ht="15" hidden="false" customHeight="false" outlineLevel="0" collapsed="false">
      <c r="A94" s="20"/>
      <c r="B94" s="21"/>
      <c r="C94" s="22"/>
      <c r="D94" s="22"/>
    </row>
    <row r="95" customFormat="false" ht="15" hidden="false" customHeight="false" outlineLevel="0" collapsed="false">
      <c r="A95" s="20"/>
      <c r="B95" s="21"/>
      <c r="C95" s="22"/>
      <c r="D95" s="22"/>
    </row>
    <row r="96" customFormat="false" ht="15" hidden="false" customHeight="false" outlineLevel="0" collapsed="false">
      <c r="A96" s="20"/>
      <c r="B96" s="21"/>
      <c r="C96" s="22"/>
      <c r="D96" s="22"/>
    </row>
    <row r="97" customFormat="false" ht="15" hidden="false" customHeight="false" outlineLevel="0" collapsed="false">
      <c r="A97" s="20"/>
      <c r="B97" s="21"/>
      <c r="C97" s="22"/>
      <c r="D97" s="22"/>
    </row>
    <row r="98" customFormat="false" ht="15" hidden="false" customHeight="false" outlineLevel="0" collapsed="false">
      <c r="A98" s="20"/>
      <c r="B98" s="21"/>
      <c r="C98" s="22"/>
      <c r="D98" s="22"/>
    </row>
    <row r="99" customFormat="false" ht="15" hidden="false" customHeight="false" outlineLevel="0" collapsed="false">
      <c r="A99" s="20"/>
      <c r="B99" s="21"/>
      <c r="C99" s="22"/>
      <c r="D99" s="22"/>
    </row>
    <row r="100" customFormat="false" ht="15" hidden="false" customHeight="false" outlineLevel="0" collapsed="false">
      <c r="A100" s="20"/>
      <c r="B100" s="21"/>
      <c r="C100" s="22"/>
      <c r="D100" s="22"/>
    </row>
    <row r="101" customFormat="false" ht="15" hidden="false" customHeight="false" outlineLevel="0" collapsed="false">
      <c r="A101" s="20"/>
      <c r="B101" s="21"/>
      <c r="C101" s="22"/>
      <c r="D101" s="22"/>
    </row>
    <row r="102" customFormat="false" ht="15" hidden="false" customHeight="false" outlineLevel="0" collapsed="false">
      <c r="A102" s="20"/>
      <c r="B102" s="21"/>
      <c r="C102" s="22"/>
      <c r="D102" s="22"/>
    </row>
    <row r="103" customFormat="false" ht="15" hidden="false" customHeight="false" outlineLevel="0" collapsed="false">
      <c r="A103" s="20"/>
      <c r="B103" s="21"/>
      <c r="C103" s="22"/>
      <c r="D103" s="22"/>
    </row>
    <row r="104" customFormat="false" ht="15" hidden="false" customHeight="false" outlineLevel="0" collapsed="false">
      <c r="A104" s="20"/>
      <c r="B104" s="21"/>
      <c r="C104" s="22"/>
      <c r="D104" s="22"/>
    </row>
    <row r="105" customFormat="false" ht="15" hidden="false" customHeight="false" outlineLevel="0" collapsed="false">
      <c r="A105" s="20"/>
      <c r="B105" s="21"/>
      <c r="C105" s="22"/>
      <c r="D105" s="22"/>
    </row>
    <row r="106" customFormat="false" ht="15" hidden="false" customHeight="false" outlineLevel="0" collapsed="false">
      <c r="A106" s="20"/>
      <c r="B106" s="21"/>
      <c r="C106" s="22"/>
      <c r="D106" s="22"/>
    </row>
    <row r="107" customFormat="false" ht="15" hidden="false" customHeight="false" outlineLevel="0" collapsed="false">
      <c r="A107" s="20"/>
      <c r="B107" s="21"/>
      <c r="C107" s="22"/>
      <c r="D107" s="22"/>
    </row>
    <row r="108" customFormat="false" ht="15" hidden="false" customHeight="false" outlineLevel="0" collapsed="false">
      <c r="A108" s="20"/>
      <c r="B108" s="21"/>
      <c r="C108" s="22"/>
      <c r="D108" s="22"/>
    </row>
    <row r="109" customFormat="false" ht="15" hidden="false" customHeight="false" outlineLevel="0" collapsed="false">
      <c r="A109" s="20"/>
      <c r="B109" s="21"/>
      <c r="C109" s="22"/>
      <c r="D109" s="22"/>
    </row>
    <row r="110" customFormat="false" ht="15" hidden="false" customHeight="false" outlineLevel="0" collapsed="false">
      <c r="A110" s="20"/>
      <c r="B110" s="21"/>
      <c r="C110" s="22"/>
      <c r="D110" s="22"/>
    </row>
    <row r="111" customFormat="false" ht="15" hidden="false" customHeight="false" outlineLevel="0" collapsed="false">
      <c r="A111" s="20"/>
      <c r="B111" s="21"/>
      <c r="C111" s="22"/>
      <c r="D111" s="22"/>
    </row>
    <row r="112" customFormat="false" ht="15" hidden="false" customHeight="false" outlineLevel="0" collapsed="false">
      <c r="A112" s="20"/>
      <c r="B112" s="21"/>
      <c r="C112" s="22"/>
      <c r="D112" s="22"/>
    </row>
    <row r="113" customFormat="false" ht="15" hidden="false" customHeight="false" outlineLevel="0" collapsed="false">
      <c r="A113" s="20"/>
      <c r="B113" s="21"/>
      <c r="C113" s="22"/>
      <c r="D113" s="22"/>
    </row>
    <row r="114" customFormat="false" ht="15" hidden="false" customHeight="false" outlineLevel="0" collapsed="false">
      <c r="A114" s="20"/>
      <c r="B114" s="21"/>
      <c r="C114" s="22"/>
      <c r="D114" s="22"/>
    </row>
    <row r="115" customFormat="false" ht="15" hidden="false" customHeight="false" outlineLevel="0" collapsed="false">
      <c r="A115" s="20"/>
      <c r="B115" s="21"/>
      <c r="C115" s="22"/>
      <c r="D115" s="22"/>
    </row>
    <row r="116" customFormat="false" ht="15" hidden="false" customHeight="false" outlineLevel="0" collapsed="false">
      <c r="A116" s="20"/>
      <c r="B116" s="21"/>
      <c r="C116" s="22"/>
      <c r="D116" s="22"/>
    </row>
    <row r="117" customFormat="false" ht="15" hidden="false" customHeight="false" outlineLevel="0" collapsed="false">
      <c r="A117" s="20"/>
      <c r="B117" s="21"/>
      <c r="C117" s="22"/>
      <c r="D117" s="22"/>
    </row>
    <row r="118" customFormat="false" ht="15" hidden="false" customHeight="false" outlineLevel="0" collapsed="false">
      <c r="A118" s="20"/>
      <c r="B118" s="21"/>
      <c r="C118" s="22"/>
      <c r="D118" s="22"/>
    </row>
    <row r="119" customFormat="false" ht="15" hidden="false" customHeight="false" outlineLevel="0" collapsed="false">
      <c r="A119" s="20"/>
      <c r="B119" s="21"/>
      <c r="C119" s="22"/>
      <c r="D119" s="22"/>
    </row>
    <row r="120" customFormat="false" ht="15" hidden="false" customHeight="false" outlineLevel="0" collapsed="false">
      <c r="A120" s="20"/>
      <c r="B120" s="21"/>
      <c r="C120" s="22"/>
      <c r="D120" s="22"/>
    </row>
    <row r="121" customFormat="false" ht="15" hidden="false" customHeight="false" outlineLevel="0" collapsed="false">
      <c r="A121" s="20"/>
      <c r="B121" s="21"/>
      <c r="C121" s="22"/>
      <c r="D121" s="22"/>
    </row>
    <row r="122" customFormat="false" ht="15" hidden="false" customHeight="false" outlineLevel="0" collapsed="false">
      <c r="A122" s="20"/>
      <c r="B122" s="21"/>
      <c r="C122" s="22"/>
      <c r="D122" s="22"/>
    </row>
    <row r="123" customFormat="false" ht="15" hidden="false" customHeight="false" outlineLevel="0" collapsed="false">
      <c r="A123" s="20"/>
      <c r="B123" s="21"/>
      <c r="C123" s="22"/>
      <c r="D123" s="22"/>
    </row>
    <row r="124" customFormat="false" ht="15" hidden="false" customHeight="false" outlineLevel="0" collapsed="false">
      <c r="A124" s="20"/>
      <c r="B124" s="21"/>
      <c r="C124" s="22"/>
      <c r="D124" s="22"/>
    </row>
    <row r="125" customFormat="false" ht="15" hidden="false" customHeight="false" outlineLevel="0" collapsed="false">
      <c r="A125" s="20"/>
      <c r="B125" s="21"/>
      <c r="C125" s="22"/>
      <c r="D125" s="22"/>
    </row>
    <row r="126" customFormat="false" ht="15" hidden="false" customHeight="false" outlineLevel="0" collapsed="false">
      <c r="A126" s="20"/>
      <c r="B126" s="21"/>
      <c r="C126" s="22"/>
      <c r="D126" s="22"/>
    </row>
    <row r="127" customFormat="false" ht="15" hidden="false" customHeight="false" outlineLevel="0" collapsed="false">
      <c r="A127" s="20"/>
      <c r="B127" s="21"/>
      <c r="C127" s="22"/>
      <c r="D127" s="22"/>
    </row>
    <row r="128" customFormat="false" ht="15" hidden="false" customHeight="false" outlineLevel="0" collapsed="false">
      <c r="A128" s="20"/>
      <c r="B128" s="21"/>
      <c r="C128" s="22"/>
      <c r="D128" s="22"/>
    </row>
    <row r="129" customFormat="false" ht="15" hidden="false" customHeight="false" outlineLevel="0" collapsed="false">
      <c r="A129" s="20"/>
      <c r="B129" s="21"/>
      <c r="C129" s="22"/>
      <c r="D129" s="22"/>
    </row>
    <row r="130" customFormat="false" ht="15" hidden="false" customHeight="false" outlineLevel="0" collapsed="false">
      <c r="A130" s="20"/>
      <c r="B130" s="21"/>
      <c r="C130" s="22"/>
      <c r="D130" s="22"/>
    </row>
    <row r="131" customFormat="false" ht="15" hidden="false" customHeight="false" outlineLevel="0" collapsed="false">
      <c r="A131" s="20"/>
      <c r="B131" s="21"/>
      <c r="C131" s="22"/>
      <c r="D131" s="22"/>
    </row>
    <row r="132" customFormat="false" ht="15" hidden="false" customHeight="false" outlineLevel="0" collapsed="false">
      <c r="A132" s="20"/>
      <c r="B132" s="21"/>
      <c r="C132" s="22"/>
      <c r="D132" s="22"/>
    </row>
    <row r="133" customFormat="false" ht="15" hidden="false" customHeight="false" outlineLevel="0" collapsed="false">
      <c r="A133" s="20"/>
      <c r="B133" s="21"/>
      <c r="C133" s="22"/>
      <c r="D133" s="22"/>
    </row>
    <row r="134" customFormat="false" ht="15" hidden="false" customHeight="false" outlineLevel="0" collapsed="false">
      <c r="A134" s="20"/>
      <c r="B134" s="21"/>
      <c r="C134" s="22"/>
      <c r="D134" s="22"/>
    </row>
    <row r="135" customFormat="false" ht="15" hidden="false" customHeight="false" outlineLevel="0" collapsed="false">
      <c r="A135" s="20"/>
      <c r="B135" s="21"/>
      <c r="C135" s="22"/>
      <c r="D135" s="22"/>
    </row>
    <row r="136" customFormat="false" ht="15" hidden="false" customHeight="false" outlineLevel="0" collapsed="false">
      <c r="A136" s="20"/>
      <c r="B136" s="21"/>
      <c r="C136" s="22"/>
      <c r="D136" s="22"/>
    </row>
    <row r="137" customFormat="false" ht="15" hidden="false" customHeight="false" outlineLevel="0" collapsed="false">
      <c r="A137" s="20"/>
      <c r="B137" s="21"/>
      <c r="C137" s="22"/>
      <c r="D137" s="22"/>
    </row>
    <row r="138" customFormat="false" ht="15" hidden="false" customHeight="false" outlineLevel="0" collapsed="false">
      <c r="A138" s="20"/>
      <c r="B138" s="21"/>
      <c r="C138" s="22"/>
      <c r="D138" s="22"/>
    </row>
    <row r="139" customFormat="false" ht="15" hidden="false" customHeight="false" outlineLevel="0" collapsed="false">
      <c r="A139" s="20"/>
      <c r="B139" s="21"/>
      <c r="C139" s="22"/>
      <c r="D139" s="22"/>
    </row>
    <row r="140" customFormat="false" ht="15" hidden="false" customHeight="false" outlineLevel="0" collapsed="false">
      <c r="A140" s="20"/>
      <c r="B140" s="21"/>
      <c r="C140" s="22"/>
      <c r="D140" s="22"/>
    </row>
    <row r="141" customFormat="false" ht="15" hidden="false" customHeight="false" outlineLevel="0" collapsed="false">
      <c r="A141" s="20"/>
      <c r="B141" s="21"/>
      <c r="C141" s="22"/>
      <c r="D141" s="22"/>
    </row>
    <row r="142" customFormat="false" ht="15" hidden="false" customHeight="false" outlineLevel="0" collapsed="false">
      <c r="A142" s="20"/>
      <c r="B142" s="21"/>
      <c r="C142" s="22"/>
      <c r="D142" s="22"/>
    </row>
    <row r="143" customFormat="false" ht="15" hidden="false" customHeight="false" outlineLevel="0" collapsed="false">
      <c r="A143" s="20"/>
      <c r="B143" s="21"/>
      <c r="C143" s="22"/>
      <c r="D143" s="22"/>
    </row>
    <row r="144" customFormat="false" ht="15" hidden="false" customHeight="false" outlineLevel="0" collapsed="false">
      <c r="A144" s="20"/>
      <c r="B144" s="21"/>
      <c r="C144" s="22"/>
      <c r="D144" s="22"/>
    </row>
    <row r="145" customFormat="false" ht="15" hidden="false" customHeight="false" outlineLevel="0" collapsed="false">
      <c r="A145" s="20"/>
      <c r="B145" s="21"/>
      <c r="C145" s="22"/>
      <c r="D145" s="22"/>
    </row>
    <row r="146" customFormat="false" ht="15" hidden="false" customHeight="false" outlineLevel="0" collapsed="false">
      <c r="A146" s="20"/>
      <c r="B146" s="21"/>
      <c r="C146" s="22"/>
      <c r="D146" s="22"/>
    </row>
    <row r="147" customFormat="false" ht="15" hidden="false" customHeight="false" outlineLevel="0" collapsed="false">
      <c r="A147" s="20"/>
      <c r="B147" s="21"/>
      <c r="C147" s="22"/>
      <c r="D147" s="22"/>
    </row>
    <row r="148" customFormat="false" ht="15" hidden="false" customHeight="false" outlineLevel="0" collapsed="false">
      <c r="A148" s="20"/>
      <c r="B148" s="21"/>
      <c r="C148" s="22"/>
      <c r="D148" s="22"/>
    </row>
    <row r="149" customFormat="false" ht="15" hidden="false" customHeight="false" outlineLevel="0" collapsed="false">
      <c r="A149" s="20"/>
      <c r="B149" s="21"/>
      <c r="C149" s="22"/>
      <c r="D149" s="22"/>
    </row>
    <row r="150" customFormat="false" ht="15" hidden="false" customHeight="false" outlineLevel="0" collapsed="false">
      <c r="A150" s="20"/>
      <c r="B150" s="21"/>
      <c r="C150" s="22"/>
      <c r="D150" s="22"/>
    </row>
    <row r="151" customFormat="false" ht="15" hidden="false" customHeight="false" outlineLevel="0" collapsed="false">
      <c r="A151" s="20"/>
      <c r="B151" s="21"/>
      <c r="C151" s="22"/>
      <c r="D151" s="22"/>
    </row>
    <row r="152" customFormat="false" ht="15" hidden="false" customHeight="false" outlineLevel="0" collapsed="false">
      <c r="A152" s="20"/>
      <c r="B152" s="21"/>
      <c r="C152" s="22"/>
      <c r="D152" s="22"/>
    </row>
    <row r="153" customFormat="false" ht="15" hidden="false" customHeight="false" outlineLevel="0" collapsed="false">
      <c r="A153" s="20"/>
      <c r="B153" s="21"/>
      <c r="C153" s="22"/>
      <c r="D153" s="22"/>
    </row>
    <row r="154" customFormat="false" ht="15" hidden="false" customHeight="false" outlineLevel="0" collapsed="false">
      <c r="A154" s="20"/>
      <c r="B154" s="21"/>
      <c r="C154" s="22"/>
      <c r="D154" s="22"/>
    </row>
    <row r="155" customFormat="false" ht="15" hidden="false" customHeight="false" outlineLevel="0" collapsed="false">
      <c r="A155" s="20"/>
      <c r="B155" s="21"/>
      <c r="C155" s="22"/>
      <c r="D155" s="22"/>
    </row>
    <row r="156" customFormat="false" ht="15" hidden="false" customHeight="false" outlineLevel="0" collapsed="false">
      <c r="A156" s="20"/>
      <c r="B156" s="21"/>
      <c r="C156" s="22"/>
      <c r="D156" s="22"/>
    </row>
    <row r="157" customFormat="false" ht="15" hidden="false" customHeight="false" outlineLevel="0" collapsed="false">
      <c r="A157" s="20"/>
      <c r="B157" s="21"/>
      <c r="C157" s="22"/>
      <c r="D157" s="22"/>
    </row>
    <row r="158" customFormat="false" ht="15" hidden="false" customHeight="false" outlineLevel="0" collapsed="false">
      <c r="A158" s="20"/>
      <c r="B158" s="21"/>
      <c r="C158" s="22"/>
      <c r="D158" s="22"/>
    </row>
    <row r="159" customFormat="false" ht="15" hidden="false" customHeight="false" outlineLevel="0" collapsed="false">
      <c r="A159" s="20"/>
      <c r="B159" s="21"/>
      <c r="C159" s="22"/>
      <c r="D159" s="22"/>
    </row>
    <row r="160" customFormat="false" ht="15" hidden="false" customHeight="false" outlineLevel="0" collapsed="false">
      <c r="A160" s="20"/>
      <c r="B160" s="21"/>
      <c r="C160" s="22"/>
      <c r="D160" s="22"/>
    </row>
    <row r="161" customFormat="false" ht="15" hidden="false" customHeight="false" outlineLevel="0" collapsed="false">
      <c r="A161" s="20"/>
      <c r="B161" s="21"/>
      <c r="C161" s="22"/>
      <c r="D161" s="22"/>
    </row>
    <row r="162" customFormat="false" ht="15" hidden="false" customHeight="false" outlineLevel="0" collapsed="false">
      <c r="A162" s="20"/>
      <c r="B162" s="21"/>
      <c r="C162" s="22"/>
      <c r="D162" s="22"/>
    </row>
    <row r="163" customFormat="false" ht="15" hidden="false" customHeight="false" outlineLevel="0" collapsed="false">
      <c r="A163" s="20"/>
      <c r="B163" s="21"/>
      <c r="C163" s="22"/>
      <c r="D163" s="22"/>
    </row>
    <row r="164" customFormat="false" ht="15" hidden="false" customHeight="false" outlineLevel="0" collapsed="false">
      <c r="A164" s="20"/>
      <c r="B164" s="21"/>
      <c r="C164" s="22"/>
      <c r="D164" s="22"/>
    </row>
    <row r="165" customFormat="false" ht="15" hidden="false" customHeight="false" outlineLevel="0" collapsed="false">
      <c r="A165" s="20"/>
      <c r="B165" s="21"/>
      <c r="C165" s="22"/>
      <c r="D165" s="22"/>
    </row>
    <row r="166" customFormat="false" ht="15" hidden="false" customHeight="false" outlineLevel="0" collapsed="false">
      <c r="A166" s="20"/>
      <c r="B166" s="21"/>
      <c r="C166" s="22"/>
      <c r="D166" s="22"/>
    </row>
    <row r="167" customFormat="false" ht="15" hidden="false" customHeight="false" outlineLevel="0" collapsed="false">
      <c r="A167" s="20"/>
      <c r="B167" s="21"/>
      <c r="C167" s="22"/>
      <c r="D167" s="22"/>
    </row>
    <row r="168" customFormat="false" ht="15" hidden="false" customHeight="false" outlineLevel="0" collapsed="false">
      <c r="A168" s="20"/>
      <c r="B168" s="21"/>
      <c r="C168" s="22"/>
      <c r="D168" s="22"/>
    </row>
    <row r="169" customFormat="false" ht="15" hidden="false" customHeight="false" outlineLevel="0" collapsed="false">
      <c r="A169" s="20"/>
      <c r="B169" s="21"/>
      <c r="C169" s="22"/>
      <c r="D169" s="22"/>
    </row>
    <row r="170" customFormat="false" ht="15" hidden="false" customHeight="false" outlineLevel="0" collapsed="false">
      <c r="A170" s="20"/>
      <c r="B170" s="21"/>
      <c r="C170" s="22"/>
      <c r="D170" s="22"/>
    </row>
    <row r="171" customFormat="false" ht="15" hidden="false" customHeight="false" outlineLevel="0" collapsed="false">
      <c r="A171" s="20"/>
      <c r="B171" s="21"/>
      <c r="C171" s="22"/>
      <c r="D171" s="22"/>
    </row>
    <row r="172" customFormat="false" ht="15" hidden="false" customHeight="false" outlineLevel="0" collapsed="false">
      <c r="A172" s="20"/>
      <c r="B172" s="21"/>
      <c r="C172" s="22"/>
      <c r="D172" s="22"/>
    </row>
    <row r="173" customFormat="false" ht="15" hidden="false" customHeight="false" outlineLevel="0" collapsed="false">
      <c r="A173" s="20"/>
      <c r="B173" s="21"/>
      <c r="C173" s="22"/>
      <c r="D173" s="22"/>
    </row>
    <row r="174" customFormat="false" ht="15" hidden="false" customHeight="false" outlineLevel="0" collapsed="false">
      <c r="A174" s="20"/>
      <c r="B174" s="21"/>
      <c r="C174" s="22"/>
      <c r="D174" s="22"/>
    </row>
    <row r="175" customFormat="false" ht="15" hidden="false" customHeight="false" outlineLevel="0" collapsed="false">
      <c r="A175" s="20"/>
      <c r="B175" s="21"/>
      <c r="C175" s="22"/>
      <c r="D175" s="22"/>
    </row>
    <row r="176" customFormat="false" ht="15" hidden="false" customHeight="false" outlineLevel="0" collapsed="false">
      <c r="A176" s="20"/>
      <c r="B176" s="21"/>
      <c r="C176" s="22"/>
      <c r="D176" s="22"/>
    </row>
    <row r="177" customFormat="false" ht="15" hidden="false" customHeight="false" outlineLevel="0" collapsed="false">
      <c r="A177" s="20"/>
      <c r="B177" s="21"/>
      <c r="C177" s="22"/>
      <c r="D177" s="22"/>
    </row>
    <row r="178" customFormat="false" ht="15" hidden="false" customHeight="false" outlineLevel="0" collapsed="false">
      <c r="A178" s="20"/>
      <c r="B178" s="21"/>
      <c r="C178" s="22"/>
      <c r="D178" s="22"/>
    </row>
    <row r="179" customFormat="false" ht="15" hidden="false" customHeight="false" outlineLevel="0" collapsed="false">
      <c r="A179" s="20"/>
      <c r="B179" s="21"/>
      <c r="C179" s="22"/>
      <c r="D179" s="22"/>
    </row>
    <row r="180" customFormat="false" ht="15" hidden="false" customHeight="false" outlineLevel="0" collapsed="false">
      <c r="A180" s="20"/>
      <c r="B180" s="21"/>
      <c r="C180" s="22"/>
      <c r="D180" s="22"/>
    </row>
    <row r="181" customFormat="false" ht="15" hidden="false" customHeight="false" outlineLevel="0" collapsed="false">
      <c r="A181" s="20"/>
      <c r="B181" s="21"/>
      <c r="C181" s="22"/>
      <c r="D181" s="22"/>
    </row>
    <row r="182" customFormat="false" ht="15" hidden="false" customHeight="false" outlineLevel="0" collapsed="false">
      <c r="A182" s="20"/>
      <c r="B182" s="21"/>
      <c r="C182" s="22"/>
      <c r="D182" s="22"/>
    </row>
    <row r="183" customFormat="false" ht="15" hidden="false" customHeight="false" outlineLevel="0" collapsed="false">
      <c r="A183" s="20"/>
      <c r="B183" s="21"/>
      <c r="C183" s="22"/>
      <c r="D183" s="22"/>
    </row>
    <row r="184" customFormat="false" ht="15" hidden="false" customHeight="false" outlineLevel="0" collapsed="false">
      <c r="A184" s="20"/>
      <c r="B184" s="21"/>
      <c r="C184" s="22"/>
      <c r="D184" s="22"/>
    </row>
    <row r="185" customFormat="false" ht="15" hidden="false" customHeight="false" outlineLevel="0" collapsed="false">
      <c r="A185" s="20"/>
      <c r="B185" s="21"/>
      <c r="C185" s="22"/>
      <c r="D185" s="22"/>
    </row>
    <row r="186" customFormat="false" ht="15" hidden="false" customHeight="false" outlineLevel="0" collapsed="false">
      <c r="A186" s="20"/>
      <c r="B186" s="21"/>
      <c r="C186" s="22"/>
      <c r="D186" s="22"/>
    </row>
    <row r="187" customFormat="false" ht="15" hidden="false" customHeight="false" outlineLevel="0" collapsed="false">
      <c r="A187" s="20"/>
      <c r="B187" s="21"/>
      <c r="C187" s="22"/>
      <c r="D187" s="22"/>
    </row>
    <row r="188" customFormat="false" ht="15" hidden="false" customHeight="false" outlineLevel="0" collapsed="false">
      <c r="A188" s="20"/>
      <c r="B188" s="21"/>
      <c r="C188" s="22"/>
      <c r="D188" s="22"/>
    </row>
    <row r="189" customFormat="false" ht="15" hidden="false" customHeight="false" outlineLevel="0" collapsed="false">
      <c r="A189" s="20"/>
      <c r="B189" s="21"/>
      <c r="C189" s="22"/>
      <c r="D189" s="22"/>
    </row>
    <row r="190" customFormat="false" ht="15" hidden="false" customHeight="false" outlineLevel="0" collapsed="false">
      <c r="A190" s="20"/>
      <c r="B190" s="21"/>
      <c r="C190" s="22"/>
      <c r="D190" s="22"/>
    </row>
    <row r="191" customFormat="false" ht="15" hidden="false" customHeight="false" outlineLevel="0" collapsed="false">
      <c r="A191" s="20"/>
      <c r="B191" s="21"/>
      <c r="C191" s="22"/>
      <c r="D191" s="22"/>
    </row>
    <row r="192" customFormat="false" ht="15" hidden="false" customHeight="false" outlineLevel="0" collapsed="false">
      <c r="A192" s="20"/>
      <c r="B192" s="21"/>
      <c r="C192" s="22"/>
      <c r="D192" s="22"/>
    </row>
    <row r="193" customFormat="false" ht="15" hidden="false" customHeight="false" outlineLevel="0" collapsed="false">
      <c r="A193" s="20"/>
      <c r="B193" s="21"/>
      <c r="C193" s="22"/>
      <c r="D193" s="22"/>
    </row>
    <row r="194" customFormat="false" ht="15" hidden="false" customHeight="false" outlineLevel="0" collapsed="false">
      <c r="A194" s="20"/>
      <c r="B194" s="21"/>
      <c r="C194" s="22"/>
      <c r="D194" s="22"/>
    </row>
    <row r="195" customFormat="false" ht="15" hidden="false" customHeight="false" outlineLevel="0" collapsed="false">
      <c r="A195" s="20"/>
      <c r="B195" s="21"/>
      <c r="C195" s="22"/>
      <c r="D195" s="22"/>
    </row>
    <row r="196" customFormat="false" ht="15" hidden="false" customHeight="false" outlineLevel="0" collapsed="false">
      <c r="A196" s="20"/>
      <c r="B196" s="21"/>
      <c r="C196" s="22"/>
      <c r="D196" s="22"/>
    </row>
    <row r="197" customFormat="false" ht="15" hidden="false" customHeight="false" outlineLevel="0" collapsed="false">
      <c r="A197" s="20"/>
      <c r="B197" s="21"/>
      <c r="C197" s="22"/>
      <c r="D197" s="22"/>
    </row>
    <row r="198" customFormat="false" ht="15" hidden="false" customHeight="false" outlineLevel="0" collapsed="false">
      <c r="A198" s="20"/>
      <c r="B198" s="21"/>
      <c r="C198" s="22"/>
      <c r="D198" s="22"/>
    </row>
    <row r="199" customFormat="false" ht="15" hidden="false" customHeight="false" outlineLevel="0" collapsed="false">
      <c r="A199" s="20"/>
      <c r="B199" s="21"/>
      <c r="C199" s="22"/>
      <c r="D199" s="22"/>
    </row>
    <row r="200" customFormat="false" ht="15" hidden="false" customHeight="false" outlineLevel="0" collapsed="false">
      <c r="A200" s="20"/>
      <c r="B200" s="21"/>
      <c r="C200" s="22"/>
      <c r="D200" s="22"/>
    </row>
    <row r="201" customFormat="false" ht="15" hidden="false" customHeight="false" outlineLevel="0" collapsed="false">
      <c r="A201" s="20"/>
      <c r="B201" s="21"/>
      <c r="C201" s="22"/>
      <c r="D201" s="22"/>
    </row>
    <row r="202" customFormat="false" ht="15" hidden="false" customHeight="false" outlineLevel="0" collapsed="false">
      <c r="A202" s="20"/>
      <c r="B202" s="21"/>
      <c r="C202" s="22"/>
      <c r="D202" s="22"/>
    </row>
    <row r="203" customFormat="false" ht="15" hidden="false" customHeight="false" outlineLevel="0" collapsed="false">
      <c r="A203" s="20"/>
      <c r="B203" s="21"/>
      <c r="C203" s="22"/>
      <c r="D203" s="22"/>
    </row>
    <row r="204" customFormat="false" ht="15" hidden="false" customHeight="false" outlineLevel="0" collapsed="false">
      <c r="A204" s="20"/>
      <c r="B204" s="21"/>
      <c r="C204" s="22"/>
      <c r="D204" s="22"/>
    </row>
    <row r="205" customFormat="false" ht="15" hidden="false" customHeight="false" outlineLevel="0" collapsed="false">
      <c r="A205" s="20"/>
      <c r="B205" s="21"/>
      <c r="C205" s="22"/>
      <c r="D205" s="22"/>
    </row>
    <row r="206" customFormat="false" ht="15" hidden="false" customHeight="false" outlineLevel="0" collapsed="false">
      <c r="A206" s="20"/>
      <c r="B206" s="21"/>
      <c r="C206" s="22"/>
      <c r="D206" s="22"/>
    </row>
    <row r="207" customFormat="false" ht="15" hidden="false" customHeight="false" outlineLevel="0" collapsed="false">
      <c r="A207" s="20"/>
      <c r="B207" s="21"/>
      <c r="C207" s="22"/>
      <c r="D207" s="22"/>
    </row>
    <row r="208" customFormat="false" ht="15" hidden="false" customHeight="false" outlineLevel="0" collapsed="false">
      <c r="A208" s="20"/>
      <c r="B208" s="21"/>
      <c r="C208" s="22"/>
      <c r="D208" s="22"/>
    </row>
    <row r="209" customFormat="false" ht="15" hidden="false" customHeight="false" outlineLevel="0" collapsed="false">
      <c r="A209" s="20"/>
      <c r="B209" s="21"/>
      <c r="C209" s="22"/>
      <c r="D209" s="22"/>
    </row>
    <row r="210" customFormat="false" ht="15" hidden="false" customHeight="false" outlineLevel="0" collapsed="false">
      <c r="A210" s="20"/>
      <c r="B210" s="21"/>
      <c r="C210" s="22"/>
      <c r="D210" s="22"/>
    </row>
    <row r="211" customFormat="false" ht="15" hidden="false" customHeight="false" outlineLevel="0" collapsed="false">
      <c r="A211" s="20"/>
      <c r="B211" s="21"/>
      <c r="C211" s="22"/>
      <c r="D211" s="22"/>
    </row>
    <row r="212" customFormat="false" ht="15" hidden="false" customHeight="false" outlineLevel="0" collapsed="false">
      <c r="A212" s="20"/>
      <c r="B212" s="21"/>
      <c r="C212" s="22"/>
      <c r="D212" s="22"/>
    </row>
    <row r="213" customFormat="false" ht="15" hidden="false" customHeight="false" outlineLevel="0" collapsed="false">
      <c r="A213" s="20"/>
      <c r="B213" s="21"/>
      <c r="C213" s="22"/>
      <c r="D213" s="22"/>
    </row>
    <row r="214" customFormat="false" ht="15" hidden="false" customHeight="false" outlineLevel="0" collapsed="false">
      <c r="A214" s="20"/>
      <c r="B214" s="21"/>
      <c r="C214" s="22"/>
      <c r="D214" s="22"/>
    </row>
    <row r="215" customFormat="false" ht="15" hidden="false" customHeight="false" outlineLevel="0" collapsed="false">
      <c r="A215" s="20"/>
      <c r="B215" s="21"/>
      <c r="C215" s="22"/>
      <c r="D215" s="22"/>
    </row>
    <row r="216" customFormat="false" ht="15" hidden="false" customHeight="false" outlineLevel="0" collapsed="false">
      <c r="A216" s="20"/>
      <c r="B216" s="21"/>
      <c r="C216" s="22"/>
      <c r="D216" s="22"/>
    </row>
    <row r="217" customFormat="false" ht="15" hidden="false" customHeight="false" outlineLevel="0" collapsed="false">
      <c r="A217" s="20"/>
      <c r="B217" s="21"/>
      <c r="C217" s="22"/>
      <c r="D217" s="22"/>
    </row>
    <row r="218" customFormat="false" ht="15" hidden="false" customHeight="false" outlineLevel="0" collapsed="false">
      <c r="A218" s="20"/>
      <c r="B218" s="21"/>
      <c r="C218" s="22"/>
      <c r="D218" s="22"/>
    </row>
    <row r="219" customFormat="false" ht="15" hidden="false" customHeight="false" outlineLevel="0" collapsed="false">
      <c r="A219" s="20"/>
      <c r="B219" s="21"/>
      <c r="C219" s="22"/>
      <c r="D219" s="22"/>
    </row>
    <row r="220" customFormat="false" ht="15" hidden="false" customHeight="false" outlineLevel="0" collapsed="false">
      <c r="A220" s="20"/>
      <c r="B220" s="21"/>
      <c r="C220" s="22"/>
      <c r="D220" s="22"/>
    </row>
    <row r="221" customFormat="false" ht="15" hidden="false" customHeight="false" outlineLevel="0" collapsed="false">
      <c r="A221" s="20"/>
      <c r="B221" s="21"/>
      <c r="C221" s="22"/>
      <c r="D221" s="22"/>
    </row>
    <row r="222" customFormat="false" ht="15" hidden="false" customHeight="false" outlineLevel="0" collapsed="false">
      <c r="A222" s="20"/>
      <c r="B222" s="21"/>
      <c r="C222" s="22"/>
      <c r="D222" s="22"/>
    </row>
    <row r="223" customFormat="false" ht="15" hidden="false" customHeight="false" outlineLevel="0" collapsed="false">
      <c r="A223" s="20"/>
      <c r="B223" s="21"/>
      <c r="C223" s="22"/>
      <c r="D223" s="22"/>
    </row>
    <row r="224" customFormat="false" ht="15" hidden="false" customHeight="false" outlineLevel="0" collapsed="false">
      <c r="A224" s="20"/>
      <c r="B224" s="21"/>
      <c r="C224" s="22"/>
      <c r="D224" s="22"/>
    </row>
    <row r="225" customFormat="false" ht="15" hidden="false" customHeight="false" outlineLevel="0" collapsed="false">
      <c r="A225" s="20"/>
      <c r="B225" s="21"/>
      <c r="C225" s="22"/>
      <c r="D225" s="22"/>
    </row>
    <row r="226" customFormat="false" ht="15" hidden="false" customHeight="false" outlineLevel="0" collapsed="false">
      <c r="A226" s="20"/>
      <c r="B226" s="21"/>
      <c r="C226" s="22"/>
      <c r="D226" s="22"/>
    </row>
    <row r="227" customFormat="false" ht="15" hidden="false" customHeight="false" outlineLevel="0" collapsed="false">
      <c r="A227" s="20"/>
      <c r="B227" s="21"/>
      <c r="C227" s="22"/>
      <c r="D227" s="22"/>
    </row>
    <row r="228" customFormat="false" ht="15" hidden="false" customHeight="false" outlineLevel="0" collapsed="false">
      <c r="A228" s="20"/>
      <c r="B228" s="21"/>
      <c r="C228" s="22"/>
      <c r="D228" s="22"/>
    </row>
    <row r="229" customFormat="false" ht="15" hidden="false" customHeight="false" outlineLevel="0" collapsed="false">
      <c r="A229" s="20"/>
      <c r="B229" s="21"/>
      <c r="C229" s="22"/>
      <c r="D229" s="22"/>
    </row>
    <row r="230" customFormat="false" ht="15" hidden="false" customHeight="false" outlineLevel="0" collapsed="false">
      <c r="A230" s="20"/>
      <c r="B230" s="21"/>
      <c r="C230" s="22"/>
      <c r="D230" s="22"/>
    </row>
    <row r="231" customFormat="false" ht="15" hidden="false" customHeight="false" outlineLevel="0" collapsed="false">
      <c r="A231" s="20"/>
      <c r="B231" s="21"/>
      <c r="C231" s="22"/>
      <c r="D231" s="22"/>
    </row>
    <row r="232" customFormat="false" ht="15" hidden="false" customHeight="false" outlineLevel="0" collapsed="false">
      <c r="A232" s="20"/>
      <c r="B232" s="21"/>
      <c r="C232" s="22"/>
      <c r="D232" s="22"/>
    </row>
    <row r="233" customFormat="false" ht="15" hidden="false" customHeight="false" outlineLevel="0" collapsed="false">
      <c r="A233" s="20"/>
      <c r="B233" s="21"/>
      <c r="C233" s="22"/>
      <c r="D233" s="22"/>
    </row>
    <row r="234" customFormat="false" ht="15" hidden="false" customHeight="false" outlineLevel="0" collapsed="false">
      <c r="A234" s="20"/>
      <c r="B234" s="21"/>
      <c r="C234" s="22"/>
      <c r="D234" s="22"/>
    </row>
    <row r="235" customFormat="false" ht="15" hidden="false" customHeight="false" outlineLevel="0" collapsed="false">
      <c r="A235" s="20"/>
      <c r="B235" s="21"/>
      <c r="C235" s="22"/>
      <c r="D235" s="22"/>
    </row>
    <row r="236" customFormat="false" ht="15" hidden="false" customHeight="false" outlineLevel="0" collapsed="false">
      <c r="A236" s="20"/>
      <c r="B236" s="21"/>
      <c r="C236" s="22"/>
      <c r="D236" s="22"/>
    </row>
    <row r="237" customFormat="false" ht="15" hidden="false" customHeight="false" outlineLevel="0" collapsed="false">
      <c r="A237" s="20"/>
      <c r="B237" s="21"/>
      <c r="C237" s="22"/>
      <c r="D237" s="22"/>
    </row>
    <row r="238" customFormat="false" ht="15" hidden="false" customHeight="false" outlineLevel="0" collapsed="false">
      <c r="A238" s="20"/>
      <c r="B238" s="21"/>
      <c r="C238" s="22"/>
      <c r="D238" s="22"/>
    </row>
    <row r="239" customFormat="false" ht="15" hidden="false" customHeight="false" outlineLevel="0" collapsed="false">
      <c r="A239" s="20"/>
      <c r="B239" s="21"/>
      <c r="C239" s="22"/>
      <c r="D239" s="22"/>
    </row>
    <row r="240" customFormat="false" ht="15" hidden="false" customHeight="false" outlineLevel="0" collapsed="false">
      <c r="A240" s="20"/>
      <c r="B240" s="21"/>
      <c r="C240" s="22"/>
      <c r="D240" s="22"/>
    </row>
    <row r="241" customFormat="false" ht="15" hidden="false" customHeight="false" outlineLevel="0" collapsed="false">
      <c r="A241" s="20"/>
      <c r="B241" s="21"/>
      <c r="C241" s="22"/>
      <c r="D241" s="22"/>
    </row>
    <row r="242" customFormat="false" ht="15" hidden="false" customHeight="false" outlineLevel="0" collapsed="false">
      <c r="A242" s="20"/>
      <c r="B242" s="21"/>
      <c r="C242" s="22"/>
      <c r="D242" s="22"/>
    </row>
    <row r="243" customFormat="false" ht="15" hidden="false" customHeight="false" outlineLevel="0" collapsed="false">
      <c r="A243" s="20"/>
      <c r="B243" s="21"/>
      <c r="C243" s="22"/>
      <c r="D243" s="22"/>
    </row>
    <row r="244" customFormat="false" ht="15" hidden="false" customHeight="false" outlineLevel="0" collapsed="false">
      <c r="A244" s="20"/>
      <c r="B244" s="21"/>
      <c r="C244" s="22"/>
      <c r="D244" s="22"/>
    </row>
    <row r="245" customFormat="false" ht="15" hidden="false" customHeight="false" outlineLevel="0" collapsed="false">
      <c r="A245" s="20"/>
      <c r="B245" s="21"/>
      <c r="C245" s="22"/>
      <c r="D245" s="22"/>
    </row>
    <row r="246" customFormat="false" ht="15" hidden="false" customHeight="false" outlineLevel="0" collapsed="false">
      <c r="A246" s="20"/>
      <c r="B246" s="21"/>
      <c r="C246" s="22"/>
      <c r="D246" s="22"/>
    </row>
    <row r="247" customFormat="false" ht="15" hidden="false" customHeight="false" outlineLevel="0" collapsed="false">
      <c r="A247" s="20"/>
      <c r="B247" s="21"/>
      <c r="C247" s="22"/>
      <c r="D247" s="22"/>
    </row>
    <row r="248" customFormat="false" ht="15" hidden="false" customHeight="false" outlineLevel="0" collapsed="false">
      <c r="A248" s="20"/>
      <c r="B248" s="21"/>
      <c r="C248" s="22"/>
      <c r="D248" s="22"/>
    </row>
    <row r="249" customFormat="false" ht="15" hidden="false" customHeight="false" outlineLevel="0" collapsed="false">
      <c r="A249" s="20"/>
      <c r="B249" s="21"/>
      <c r="C249" s="22"/>
      <c r="D249" s="22"/>
    </row>
    <row r="250" customFormat="false" ht="15" hidden="false" customHeight="false" outlineLevel="0" collapsed="false">
      <c r="A250" s="20"/>
      <c r="B250" s="21"/>
      <c r="C250" s="22"/>
      <c r="D250" s="22"/>
    </row>
    <row r="251" customFormat="false" ht="15" hidden="false" customHeight="false" outlineLevel="0" collapsed="false">
      <c r="A251" s="20"/>
      <c r="B251" s="21"/>
      <c r="C251" s="22"/>
      <c r="D251" s="22"/>
    </row>
    <row r="252" customFormat="false" ht="15" hidden="false" customHeight="false" outlineLevel="0" collapsed="false">
      <c r="A252" s="20"/>
      <c r="B252" s="21"/>
      <c r="C252" s="22"/>
      <c r="D252" s="22"/>
    </row>
    <row r="253" customFormat="false" ht="15" hidden="false" customHeight="false" outlineLevel="0" collapsed="false">
      <c r="A253" s="20"/>
      <c r="B253" s="21"/>
      <c r="C253" s="22"/>
      <c r="D253" s="22"/>
    </row>
    <row r="254" customFormat="false" ht="15" hidden="false" customHeight="false" outlineLevel="0" collapsed="false">
      <c r="A254" s="20"/>
      <c r="B254" s="21"/>
      <c r="C254" s="22"/>
      <c r="D254" s="22"/>
    </row>
    <row r="255" customFormat="false" ht="15" hidden="false" customHeight="false" outlineLevel="0" collapsed="false">
      <c r="A255" s="20"/>
      <c r="B255" s="21"/>
      <c r="C255" s="22"/>
      <c r="D255" s="22"/>
    </row>
    <row r="256" customFormat="false" ht="15" hidden="false" customHeight="false" outlineLevel="0" collapsed="false">
      <c r="A256" s="20"/>
      <c r="B256" s="21"/>
      <c r="C256" s="22"/>
      <c r="D256" s="22"/>
    </row>
    <row r="257" customFormat="false" ht="15" hidden="false" customHeight="false" outlineLevel="0" collapsed="false">
      <c r="A257" s="20"/>
      <c r="B257" s="21"/>
      <c r="C257" s="22"/>
      <c r="D257" s="22"/>
    </row>
    <row r="258" customFormat="false" ht="15" hidden="false" customHeight="false" outlineLevel="0" collapsed="false">
      <c r="A258" s="20"/>
      <c r="B258" s="21"/>
      <c r="C258" s="22"/>
      <c r="D258" s="22"/>
    </row>
    <row r="259" customFormat="false" ht="15" hidden="false" customHeight="false" outlineLevel="0" collapsed="false">
      <c r="A259" s="20"/>
      <c r="B259" s="21"/>
      <c r="C259" s="22"/>
      <c r="D259" s="22"/>
    </row>
    <row r="260" customFormat="false" ht="15" hidden="false" customHeight="false" outlineLevel="0" collapsed="false">
      <c r="A260" s="20"/>
      <c r="B260" s="21"/>
      <c r="C260" s="22"/>
      <c r="D260" s="22"/>
    </row>
    <row r="261" customFormat="false" ht="15" hidden="false" customHeight="false" outlineLevel="0" collapsed="false">
      <c r="A261" s="20"/>
      <c r="B261" s="21"/>
      <c r="C261" s="22"/>
      <c r="D261" s="22"/>
    </row>
    <row r="262" customFormat="false" ht="15" hidden="false" customHeight="false" outlineLevel="0" collapsed="false">
      <c r="A262" s="20"/>
      <c r="B262" s="21"/>
      <c r="C262" s="22"/>
      <c r="D262" s="22"/>
    </row>
    <row r="263" customFormat="false" ht="15" hidden="false" customHeight="false" outlineLevel="0" collapsed="false">
      <c r="A263" s="20"/>
      <c r="B263" s="21"/>
      <c r="C263" s="22"/>
      <c r="D263" s="22"/>
    </row>
    <row r="264" customFormat="false" ht="15" hidden="false" customHeight="false" outlineLevel="0" collapsed="false">
      <c r="A264" s="20"/>
      <c r="B264" s="21"/>
      <c r="C264" s="22"/>
      <c r="D264" s="22"/>
    </row>
    <row r="265" customFormat="false" ht="15" hidden="false" customHeight="false" outlineLevel="0" collapsed="false">
      <c r="A265" s="20"/>
      <c r="B265" s="21"/>
      <c r="C265" s="22"/>
      <c r="D265" s="22"/>
    </row>
    <row r="266" customFormat="false" ht="15" hidden="false" customHeight="false" outlineLevel="0" collapsed="false">
      <c r="A266" s="20"/>
      <c r="B266" s="21"/>
      <c r="C266" s="22"/>
      <c r="D266" s="22"/>
    </row>
    <row r="267" customFormat="false" ht="15" hidden="false" customHeight="false" outlineLevel="0" collapsed="false">
      <c r="A267" s="20"/>
      <c r="B267" s="21"/>
      <c r="C267" s="22"/>
      <c r="D267" s="22"/>
    </row>
    <row r="268" customFormat="false" ht="15" hidden="false" customHeight="false" outlineLevel="0" collapsed="false">
      <c r="A268" s="20"/>
      <c r="B268" s="21"/>
      <c r="C268" s="22"/>
      <c r="D268" s="22"/>
    </row>
    <row r="269" customFormat="false" ht="15" hidden="false" customHeight="false" outlineLevel="0" collapsed="false">
      <c r="A269" s="20"/>
      <c r="B269" s="21"/>
      <c r="C269" s="22"/>
      <c r="D269" s="22"/>
    </row>
    <row r="270" customFormat="false" ht="15" hidden="false" customHeight="false" outlineLevel="0" collapsed="false">
      <c r="A270" s="20"/>
      <c r="B270" s="21"/>
      <c r="C270" s="22"/>
      <c r="D270" s="22"/>
    </row>
    <row r="271" customFormat="false" ht="15" hidden="false" customHeight="false" outlineLevel="0" collapsed="false">
      <c r="A271" s="20"/>
      <c r="B271" s="21"/>
      <c r="C271" s="22"/>
      <c r="D271" s="22"/>
    </row>
    <row r="272" customFormat="false" ht="15" hidden="false" customHeight="false" outlineLevel="0" collapsed="false">
      <c r="A272" s="20"/>
      <c r="B272" s="21"/>
      <c r="C272" s="22"/>
      <c r="D272" s="22"/>
    </row>
    <row r="273" customFormat="false" ht="15" hidden="false" customHeight="false" outlineLevel="0" collapsed="false">
      <c r="A273" s="20"/>
      <c r="B273" s="21"/>
      <c r="C273" s="22"/>
      <c r="D273" s="22"/>
    </row>
    <row r="274" customFormat="false" ht="15" hidden="false" customHeight="false" outlineLevel="0" collapsed="false">
      <c r="A274" s="20"/>
      <c r="B274" s="21"/>
      <c r="C274" s="22"/>
      <c r="D274" s="22"/>
    </row>
    <row r="275" customFormat="false" ht="15" hidden="false" customHeight="false" outlineLevel="0" collapsed="false">
      <c r="A275" s="20"/>
      <c r="B275" s="21"/>
      <c r="C275" s="22"/>
      <c r="D275" s="22"/>
    </row>
    <row r="276" customFormat="false" ht="15" hidden="false" customHeight="false" outlineLevel="0" collapsed="false">
      <c r="A276" s="20"/>
      <c r="B276" s="21"/>
      <c r="C276" s="22"/>
      <c r="D276" s="22"/>
    </row>
    <row r="277" customFormat="false" ht="15" hidden="false" customHeight="false" outlineLevel="0" collapsed="false">
      <c r="A277" s="20"/>
      <c r="B277" s="21"/>
      <c r="C277" s="22"/>
      <c r="D277" s="22"/>
    </row>
    <row r="278" customFormat="false" ht="15" hidden="false" customHeight="false" outlineLevel="0" collapsed="false">
      <c r="A278" s="20"/>
      <c r="B278" s="21"/>
      <c r="C278" s="22"/>
      <c r="D278" s="22"/>
    </row>
    <row r="279" customFormat="false" ht="15" hidden="false" customHeight="false" outlineLevel="0" collapsed="false">
      <c r="A279" s="20"/>
      <c r="B279" s="21"/>
      <c r="C279" s="22"/>
      <c r="D279" s="22"/>
    </row>
    <row r="280" customFormat="false" ht="15" hidden="false" customHeight="false" outlineLevel="0" collapsed="false">
      <c r="A280" s="20"/>
      <c r="B280" s="21"/>
      <c r="C280" s="22"/>
      <c r="D280" s="22"/>
    </row>
    <row r="281" customFormat="false" ht="15" hidden="false" customHeight="false" outlineLevel="0" collapsed="false">
      <c r="A281" s="20"/>
      <c r="B281" s="21"/>
      <c r="C281" s="22"/>
      <c r="D281" s="22"/>
    </row>
    <row r="282" customFormat="false" ht="15" hidden="false" customHeight="false" outlineLevel="0" collapsed="false">
      <c r="A282" s="20"/>
      <c r="B282" s="21"/>
      <c r="C282" s="22"/>
      <c r="D282" s="22"/>
    </row>
    <row r="283" customFormat="false" ht="15" hidden="false" customHeight="false" outlineLevel="0" collapsed="false">
      <c r="A283" s="20"/>
      <c r="B283" s="21"/>
      <c r="C283" s="22"/>
      <c r="D283" s="22"/>
    </row>
    <row r="284" customFormat="false" ht="15" hidden="false" customHeight="false" outlineLevel="0" collapsed="false">
      <c r="A284" s="20"/>
      <c r="B284" s="21"/>
      <c r="C284" s="22"/>
      <c r="D284" s="22"/>
    </row>
    <row r="285" customFormat="false" ht="15" hidden="false" customHeight="false" outlineLevel="0" collapsed="false">
      <c r="A285" s="20"/>
      <c r="B285" s="21"/>
      <c r="C285" s="22"/>
      <c r="D285" s="22"/>
    </row>
    <row r="286" customFormat="false" ht="15" hidden="false" customHeight="false" outlineLevel="0" collapsed="false">
      <c r="A286" s="20"/>
      <c r="B286" s="21"/>
      <c r="C286" s="22"/>
      <c r="D286" s="22"/>
    </row>
    <row r="287" customFormat="false" ht="15" hidden="false" customHeight="false" outlineLevel="0" collapsed="false">
      <c r="A287" s="20"/>
      <c r="B287" s="21"/>
      <c r="C287" s="22"/>
      <c r="D287" s="22"/>
    </row>
    <row r="288" customFormat="false" ht="15" hidden="false" customHeight="false" outlineLevel="0" collapsed="false">
      <c r="A288" s="20"/>
      <c r="B288" s="21"/>
      <c r="C288" s="22"/>
      <c r="D288" s="22"/>
    </row>
    <row r="289" customFormat="false" ht="15" hidden="false" customHeight="false" outlineLevel="0" collapsed="false">
      <c r="A289" s="20"/>
      <c r="B289" s="21"/>
      <c r="C289" s="22"/>
      <c r="D289" s="22"/>
    </row>
    <row r="290" customFormat="false" ht="15" hidden="false" customHeight="false" outlineLevel="0" collapsed="false">
      <c r="A290" s="20"/>
      <c r="B290" s="21"/>
      <c r="C290" s="22"/>
      <c r="D290" s="22"/>
    </row>
    <row r="291" customFormat="false" ht="15" hidden="false" customHeight="false" outlineLevel="0" collapsed="false">
      <c r="A291" s="20"/>
      <c r="B291" s="21"/>
      <c r="C291" s="22"/>
      <c r="D291" s="22"/>
    </row>
    <row r="292" customFormat="false" ht="15" hidden="false" customHeight="false" outlineLevel="0" collapsed="false">
      <c r="A292" s="20"/>
      <c r="B292" s="21"/>
      <c r="C292" s="22"/>
      <c r="D292" s="22"/>
    </row>
    <row r="293" customFormat="false" ht="15" hidden="false" customHeight="false" outlineLevel="0" collapsed="false">
      <c r="A293" s="20"/>
      <c r="B293" s="21"/>
      <c r="C293" s="22"/>
      <c r="D293" s="22"/>
    </row>
    <row r="294" customFormat="false" ht="15" hidden="false" customHeight="false" outlineLevel="0" collapsed="false">
      <c r="A294" s="20"/>
      <c r="B294" s="21"/>
      <c r="C294" s="22"/>
      <c r="D294" s="22"/>
    </row>
    <row r="295" customFormat="false" ht="15" hidden="false" customHeight="false" outlineLevel="0" collapsed="false">
      <c r="A295" s="20"/>
      <c r="B295" s="21"/>
      <c r="C295" s="22"/>
      <c r="D295" s="22"/>
    </row>
    <row r="296" customFormat="false" ht="15" hidden="false" customHeight="false" outlineLevel="0" collapsed="false">
      <c r="A296" s="20"/>
      <c r="B296" s="21"/>
      <c r="C296" s="22"/>
      <c r="D296" s="22"/>
    </row>
    <row r="297" customFormat="false" ht="15" hidden="false" customHeight="false" outlineLevel="0" collapsed="false">
      <c r="A297" s="20"/>
      <c r="B297" s="21"/>
      <c r="C297" s="22"/>
      <c r="D297" s="22"/>
    </row>
    <row r="298" customFormat="false" ht="15" hidden="false" customHeight="false" outlineLevel="0" collapsed="false">
      <c r="A298" s="20"/>
      <c r="B298" s="21"/>
      <c r="C298" s="22"/>
      <c r="D298" s="22"/>
    </row>
    <row r="299" customFormat="false" ht="15" hidden="false" customHeight="false" outlineLevel="0" collapsed="false">
      <c r="A299" s="20"/>
      <c r="B299" s="21"/>
      <c r="C299" s="22"/>
      <c r="D299" s="22"/>
    </row>
    <row r="300" customFormat="false" ht="15" hidden="false" customHeight="false" outlineLevel="0" collapsed="false">
      <c r="A300" s="20"/>
      <c r="B300" s="21"/>
      <c r="C300" s="22"/>
      <c r="D300" s="22"/>
    </row>
    <row r="301" customFormat="false" ht="15" hidden="false" customHeight="false" outlineLevel="0" collapsed="false">
      <c r="A301" s="20"/>
      <c r="B301" s="21"/>
      <c r="C301" s="22"/>
      <c r="D301" s="22"/>
    </row>
    <row r="302" customFormat="false" ht="15" hidden="false" customHeight="false" outlineLevel="0" collapsed="false">
      <c r="A302" s="20"/>
      <c r="B302" s="21"/>
      <c r="C302" s="22"/>
      <c r="D302" s="22"/>
    </row>
    <row r="303" customFormat="false" ht="15" hidden="false" customHeight="false" outlineLevel="0" collapsed="false">
      <c r="A303" s="20"/>
      <c r="B303" s="21"/>
      <c r="C303" s="22"/>
      <c r="D303" s="22"/>
    </row>
    <row r="304" customFormat="false" ht="15" hidden="false" customHeight="false" outlineLevel="0" collapsed="false">
      <c r="A304" s="20"/>
      <c r="B304" s="21"/>
      <c r="C304" s="22"/>
      <c r="D304" s="22"/>
    </row>
    <row r="305" customFormat="false" ht="15" hidden="false" customHeight="false" outlineLevel="0" collapsed="false">
      <c r="A305" s="20"/>
      <c r="B305" s="21"/>
      <c r="C305" s="22"/>
      <c r="D305" s="22"/>
    </row>
    <row r="306" customFormat="false" ht="15" hidden="false" customHeight="false" outlineLevel="0" collapsed="false">
      <c r="A306" s="20"/>
      <c r="B306" s="21"/>
      <c r="C306" s="22"/>
      <c r="D306" s="22"/>
    </row>
    <row r="307" customFormat="false" ht="15" hidden="false" customHeight="false" outlineLevel="0" collapsed="false">
      <c r="A307" s="20"/>
      <c r="B307" s="21"/>
      <c r="C307" s="22"/>
      <c r="D307" s="22"/>
    </row>
    <row r="308" customFormat="false" ht="15" hidden="false" customHeight="false" outlineLevel="0" collapsed="false">
      <c r="A308" s="20"/>
      <c r="B308" s="21"/>
      <c r="C308" s="22"/>
      <c r="D308" s="22"/>
    </row>
    <row r="309" customFormat="false" ht="15" hidden="false" customHeight="false" outlineLevel="0" collapsed="false">
      <c r="A309" s="20"/>
      <c r="B309" s="21"/>
      <c r="C309" s="22"/>
      <c r="D309" s="22"/>
    </row>
    <row r="310" customFormat="false" ht="15" hidden="false" customHeight="false" outlineLevel="0" collapsed="false">
      <c r="A310" s="20"/>
      <c r="B310" s="21"/>
      <c r="C310" s="22"/>
      <c r="D310" s="22"/>
    </row>
    <row r="311" customFormat="false" ht="15" hidden="false" customHeight="false" outlineLevel="0" collapsed="false">
      <c r="A311" s="20"/>
      <c r="B311" s="21"/>
      <c r="C311" s="22"/>
      <c r="D311" s="22"/>
    </row>
    <row r="312" customFormat="false" ht="15" hidden="false" customHeight="false" outlineLevel="0" collapsed="false">
      <c r="A312" s="20"/>
      <c r="B312" s="21"/>
      <c r="C312" s="22"/>
      <c r="D312" s="22"/>
    </row>
    <row r="313" customFormat="false" ht="15" hidden="false" customHeight="false" outlineLevel="0" collapsed="false">
      <c r="A313" s="20"/>
      <c r="B313" s="21"/>
      <c r="C313" s="22"/>
      <c r="D313" s="22"/>
    </row>
    <row r="314" customFormat="false" ht="15" hidden="false" customHeight="false" outlineLevel="0" collapsed="false">
      <c r="A314" s="20"/>
      <c r="B314" s="21"/>
      <c r="C314" s="22"/>
      <c r="D314" s="22"/>
    </row>
    <row r="315" customFormat="false" ht="15" hidden="false" customHeight="false" outlineLevel="0" collapsed="false">
      <c r="A315" s="20"/>
      <c r="B315" s="21"/>
      <c r="C315" s="22"/>
      <c r="D315" s="22"/>
    </row>
    <row r="316" customFormat="false" ht="15" hidden="false" customHeight="false" outlineLevel="0" collapsed="false">
      <c r="A316" s="20"/>
      <c r="B316" s="21"/>
      <c r="C316" s="22"/>
      <c r="D316" s="22"/>
    </row>
    <row r="317" customFormat="false" ht="15" hidden="false" customHeight="false" outlineLevel="0" collapsed="false">
      <c r="A317" s="20"/>
      <c r="B317" s="21"/>
      <c r="C317" s="22"/>
      <c r="D317" s="22"/>
    </row>
    <row r="318" customFormat="false" ht="15" hidden="false" customHeight="false" outlineLevel="0" collapsed="false">
      <c r="A318" s="20"/>
      <c r="B318" s="21"/>
      <c r="C318" s="22"/>
      <c r="D318" s="22"/>
    </row>
    <row r="319" customFormat="false" ht="15" hidden="false" customHeight="false" outlineLevel="0" collapsed="false">
      <c r="A319" s="20"/>
      <c r="B319" s="21"/>
      <c r="C319" s="22"/>
      <c r="D319" s="22"/>
    </row>
    <row r="320" customFormat="false" ht="15" hidden="false" customHeight="false" outlineLevel="0" collapsed="false">
      <c r="A320" s="20"/>
      <c r="B320" s="21"/>
      <c r="C320" s="22"/>
      <c r="D320" s="22"/>
    </row>
    <row r="321" customFormat="false" ht="15" hidden="false" customHeight="false" outlineLevel="0" collapsed="false">
      <c r="A321" s="20"/>
      <c r="B321" s="21"/>
      <c r="C321" s="22"/>
      <c r="D321" s="22"/>
    </row>
    <row r="322" customFormat="false" ht="15" hidden="false" customHeight="false" outlineLevel="0" collapsed="false">
      <c r="A322" s="20"/>
      <c r="B322" s="21"/>
      <c r="C322" s="22"/>
      <c r="D322" s="22"/>
    </row>
    <row r="323" customFormat="false" ht="15" hidden="false" customHeight="false" outlineLevel="0" collapsed="false">
      <c r="A323" s="20"/>
      <c r="B323" s="21"/>
      <c r="C323" s="22"/>
      <c r="D323" s="22"/>
    </row>
    <row r="324" customFormat="false" ht="15" hidden="false" customHeight="false" outlineLevel="0" collapsed="false">
      <c r="A324" s="20"/>
      <c r="B324" s="21"/>
      <c r="C324" s="22"/>
      <c r="D324" s="22"/>
    </row>
    <row r="325" customFormat="false" ht="15" hidden="false" customHeight="false" outlineLevel="0" collapsed="false">
      <c r="A325" s="20"/>
      <c r="B325" s="21"/>
      <c r="C325" s="22"/>
      <c r="D325" s="22"/>
    </row>
    <row r="326" customFormat="false" ht="15" hidden="false" customHeight="false" outlineLevel="0" collapsed="false">
      <c r="A326" s="20"/>
      <c r="B326" s="21"/>
      <c r="C326" s="22"/>
      <c r="D326" s="22"/>
    </row>
    <row r="327" customFormat="false" ht="15" hidden="false" customHeight="false" outlineLevel="0" collapsed="false">
      <c r="A327" s="20"/>
      <c r="B327" s="21"/>
      <c r="C327" s="22"/>
      <c r="D327" s="22"/>
    </row>
    <row r="328" customFormat="false" ht="15" hidden="false" customHeight="false" outlineLevel="0" collapsed="false">
      <c r="A328" s="20"/>
      <c r="B328" s="21"/>
      <c r="C328" s="22"/>
      <c r="D328" s="22"/>
    </row>
    <row r="329" customFormat="false" ht="15" hidden="false" customHeight="false" outlineLevel="0" collapsed="false">
      <c r="A329" s="20"/>
      <c r="B329" s="21"/>
      <c r="C329" s="22"/>
      <c r="D329" s="22"/>
    </row>
    <row r="330" customFormat="false" ht="15" hidden="false" customHeight="false" outlineLevel="0" collapsed="false">
      <c r="A330" s="20"/>
      <c r="B330" s="21"/>
      <c r="C330" s="22"/>
      <c r="D330" s="22"/>
    </row>
    <row r="331" customFormat="false" ht="15" hidden="false" customHeight="false" outlineLevel="0" collapsed="false">
      <c r="A331" s="20"/>
      <c r="B331" s="21"/>
      <c r="C331" s="22"/>
      <c r="D331" s="22"/>
    </row>
    <row r="332" customFormat="false" ht="15" hidden="false" customHeight="false" outlineLevel="0" collapsed="false">
      <c r="A332" s="20"/>
      <c r="B332" s="21"/>
      <c r="C332" s="22"/>
      <c r="D332" s="22"/>
    </row>
    <row r="333" customFormat="false" ht="15" hidden="false" customHeight="false" outlineLevel="0" collapsed="false">
      <c r="A333" s="20"/>
      <c r="B333" s="21"/>
      <c r="C333" s="22"/>
      <c r="D333" s="22"/>
    </row>
    <row r="334" customFormat="false" ht="15" hidden="false" customHeight="false" outlineLevel="0" collapsed="false">
      <c r="A334" s="20"/>
      <c r="B334" s="21"/>
      <c r="C334" s="22"/>
      <c r="D334" s="22"/>
    </row>
    <row r="335" customFormat="false" ht="15" hidden="false" customHeight="false" outlineLevel="0" collapsed="false">
      <c r="A335" s="20"/>
      <c r="B335" s="21"/>
      <c r="C335" s="22"/>
      <c r="D335" s="22"/>
    </row>
    <row r="336" customFormat="false" ht="15" hidden="false" customHeight="false" outlineLevel="0" collapsed="false">
      <c r="A336" s="20"/>
      <c r="B336" s="21"/>
      <c r="C336" s="22"/>
      <c r="D336" s="22"/>
    </row>
    <row r="337" customFormat="false" ht="15" hidden="false" customHeight="false" outlineLevel="0" collapsed="false">
      <c r="A337" s="20"/>
      <c r="B337" s="21"/>
      <c r="C337" s="22"/>
      <c r="D337" s="22"/>
    </row>
    <row r="338" customFormat="false" ht="15" hidden="false" customHeight="false" outlineLevel="0" collapsed="false">
      <c r="A338" s="20"/>
      <c r="B338" s="21"/>
      <c r="C338" s="22"/>
      <c r="D338" s="22"/>
    </row>
    <row r="339" customFormat="false" ht="15" hidden="false" customHeight="false" outlineLevel="0" collapsed="false">
      <c r="A339" s="20"/>
      <c r="B339" s="21"/>
      <c r="C339" s="22"/>
      <c r="D339" s="22"/>
    </row>
    <row r="340" customFormat="false" ht="15" hidden="false" customHeight="false" outlineLevel="0" collapsed="false">
      <c r="A340" s="20"/>
      <c r="B340" s="21"/>
      <c r="C340" s="22"/>
      <c r="D340" s="22"/>
    </row>
    <row r="341" customFormat="false" ht="15" hidden="false" customHeight="false" outlineLevel="0" collapsed="false">
      <c r="A341" s="20"/>
      <c r="B341" s="21"/>
      <c r="C341" s="22"/>
      <c r="D341" s="22"/>
    </row>
    <row r="342" customFormat="false" ht="15" hidden="false" customHeight="false" outlineLevel="0" collapsed="false">
      <c r="A342" s="20"/>
      <c r="B342" s="21"/>
      <c r="C342" s="22"/>
      <c r="D342" s="22"/>
    </row>
    <row r="343" customFormat="false" ht="15" hidden="false" customHeight="false" outlineLevel="0" collapsed="false">
      <c r="A343" s="20"/>
      <c r="B343" s="21"/>
      <c r="C343" s="22"/>
      <c r="D343" s="22"/>
    </row>
    <row r="344" customFormat="false" ht="15" hidden="false" customHeight="false" outlineLevel="0" collapsed="false">
      <c r="A344" s="20"/>
      <c r="B344" s="21"/>
      <c r="C344" s="22"/>
      <c r="D344" s="22"/>
    </row>
    <row r="345" customFormat="false" ht="15" hidden="false" customHeight="false" outlineLevel="0" collapsed="false">
      <c r="A345" s="20"/>
      <c r="B345" s="21"/>
      <c r="C345" s="22"/>
      <c r="D345" s="22"/>
    </row>
    <row r="346" customFormat="false" ht="15" hidden="false" customHeight="false" outlineLevel="0" collapsed="false">
      <c r="A346" s="20"/>
      <c r="B346" s="21"/>
      <c r="C346" s="22"/>
      <c r="D346" s="22"/>
    </row>
    <row r="347" customFormat="false" ht="15" hidden="false" customHeight="false" outlineLevel="0" collapsed="false">
      <c r="A347" s="20"/>
      <c r="B347" s="21"/>
      <c r="C347" s="22"/>
      <c r="D347" s="22"/>
    </row>
    <row r="348" customFormat="false" ht="15" hidden="false" customHeight="false" outlineLevel="0" collapsed="false">
      <c r="A348" s="20"/>
      <c r="B348" s="21"/>
      <c r="C348" s="22"/>
      <c r="D348" s="22"/>
    </row>
    <row r="349" customFormat="false" ht="15" hidden="false" customHeight="false" outlineLevel="0" collapsed="false">
      <c r="A349" s="20"/>
      <c r="B349" s="21"/>
      <c r="C349" s="22"/>
      <c r="D349" s="22"/>
    </row>
    <row r="350" customFormat="false" ht="15" hidden="false" customHeight="false" outlineLevel="0" collapsed="false">
      <c r="A350" s="20"/>
      <c r="B350" s="21"/>
      <c r="C350" s="22"/>
      <c r="D350" s="22"/>
    </row>
    <row r="351" customFormat="false" ht="15" hidden="false" customHeight="false" outlineLevel="0" collapsed="false">
      <c r="A351" s="20"/>
      <c r="B351" s="21"/>
      <c r="C351" s="22"/>
      <c r="D351" s="22"/>
    </row>
    <row r="352" customFormat="false" ht="15" hidden="false" customHeight="false" outlineLevel="0" collapsed="false">
      <c r="A352" s="20"/>
      <c r="B352" s="21"/>
      <c r="C352" s="22"/>
      <c r="D352" s="22"/>
    </row>
    <row r="353" customFormat="false" ht="15" hidden="false" customHeight="false" outlineLevel="0" collapsed="false">
      <c r="A353" s="20"/>
      <c r="B353" s="21"/>
      <c r="C353" s="22"/>
      <c r="D353" s="22"/>
    </row>
    <row r="354" customFormat="false" ht="15" hidden="false" customHeight="false" outlineLevel="0" collapsed="false">
      <c r="A354" s="20"/>
      <c r="B354" s="21"/>
      <c r="C354" s="22"/>
      <c r="D354" s="22"/>
    </row>
    <row r="355" customFormat="false" ht="15" hidden="false" customHeight="false" outlineLevel="0" collapsed="false">
      <c r="A355" s="20"/>
      <c r="B355" s="21"/>
      <c r="C355" s="22"/>
      <c r="D355" s="22"/>
    </row>
    <row r="356" customFormat="false" ht="15" hidden="false" customHeight="false" outlineLevel="0" collapsed="false">
      <c r="A356" s="20"/>
      <c r="B356" s="21"/>
      <c r="C356" s="22"/>
      <c r="D356" s="22"/>
    </row>
    <row r="357" customFormat="false" ht="15" hidden="false" customHeight="false" outlineLevel="0" collapsed="false">
      <c r="A357" s="20"/>
      <c r="B357" s="21"/>
      <c r="C357" s="22"/>
      <c r="D357" s="22"/>
    </row>
    <row r="358" customFormat="false" ht="15" hidden="false" customHeight="false" outlineLevel="0" collapsed="false">
      <c r="A358" s="20"/>
      <c r="B358" s="21"/>
      <c r="C358" s="22"/>
      <c r="D358" s="22"/>
    </row>
    <row r="359" customFormat="false" ht="15" hidden="false" customHeight="false" outlineLevel="0" collapsed="false">
      <c r="A359" s="20"/>
      <c r="B359" s="21"/>
      <c r="C359" s="22"/>
      <c r="D359" s="22"/>
    </row>
    <row r="360" customFormat="false" ht="15" hidden="false" customHeight="false" outlineLevel="0" collapsed="false">
      <c r="A360" s="20"/>
      <c r="B360" s="21"/>
      <c r="C360" s="22"/>
      <c r="D360" s="22"/>
    </row>
    <row r="361" customFormat="false" ht="15" hidden="false" customHeight="false" outlineLevel="0" collapsed="false">
      <c r="A361" s="20"/>
      <c r="B361" s="21"/>
      <c r="C361" s="22"/>
      <c r="D361" s="22"/>
    </row>
    <row r="362" customFormat="false" ht="15" hidden="false" customHeight="false" outlineLevel="0" collapsed="false">
      <c r="A362" s="20"/>
      <c r="B362" s="21"/>
      <c r="C362" s="22"/>
      <c r="D362" s="22"/>
    </row>
    <row r="363" customFormat="false" ht="15" hidden="false" customHeight="false" outlineLevel="0" collapsed="false">
      <c r="A363" s="20"/>
      <c r="B363" s="21"/>
      <c r="C363" s="22"/>
      <c r="D363" s="22"/>
    </row>
    <row r="364" customFormat="false" ht="15" hidden="false" customHeight="false" outlineLevel="0" collapsed="false">
      <c r="A364" s="20"/>
      <c r="B364" s="21"/>
      <c r="C364" s="22"/>
      <c r="D364" s="22"/>
    </row>
    <row r="365" customFormat="false" ht="15" hidden="false" customHeight="false" outlineLevel="0" collapsed="false">
      <c r="A365" s="20"/>
      <c r="B365" s="21"/>
      <c r="C365" s="22"/>
      <c r="D365" s="22"/>
    </row>
    <row r="366" customFormat="false" ht="15" hidden="false" customHeight="false" outlineLevel="0" collapsed="false">
      <c r="A366" s="20"/>
      <c r="B366" s="21"/>
      <c r="C366" s="22"/>
      <c r="D366" s="22"/>
    </row>
    <row r="367" customFormat="false" ht="15" hidden="false" customHeight="false" outlineLevel="0" collapsed="false">
      <c r="A367" s="20"/>
      <c r="B367" s="21"/>
      <c r="C367" s="22"/>
      <c r="D367" s="22"/>
    </row>
    <row r="368" customFormat="false" ht="15" hidden="false" customHeight="false" outlineLevel="0" collapsed="false">
      <c r="A368" s="20"/>
      <c r="B368" s="21"/>
      <c r="C368" s="22"/>
      <c r="D368" s="22"/>
    </row>
    <row r="369" customFormat="false" ht="15" hidden="false" customHeight="false" outlineLevel="0" collapsed="false">
      <c r="A369" s="20"/>
      <c r="B369" s="21"/>
      <c r="C369" s="22"/>
      <c r="D369" s="22"/>
    </row>
    <row r="370" customFormat="false" ht="15" hidden="false" customHeight="false" outlineLevel="0" collapsed="false">
      <c r="A370" s="20"/>
      <c r="B370" s="21"/>
      <c r="C370" s="22"/>
      <c r="D370" s="22"/>
    </row>
    <row r="371" customFormat="false" ht="15" hidden="false" customHeight="false" outlineLevel="0" collapsed="false">
      <c r="A371" s="20"/>
      <c r="B371" s="21"/>
      <c r="C371" s="22"/>
      <c r="D371" s="22"/>
    </row>
    <row r="372" customFormat="false" ht="15" hidden="false" customHeight="false" outlineLevel="0" collapsed="false">
      <c r="A372" s="20"/>
      <c r="B372" s="21"/>
      <c r="C372" s="22"/>
      <c r="D372" s="22"/>
    </row>
    <row r="373" customFormat="false" ht="15" hidden="false" customHeight="false" outlineLevel="0" collapsed="false">
      <c r="A373" s="20"/>
      <c r="B373" s="21"/>
      <c r="C373" s="22"/>
      <c r="D373" s="22"/>
    </row>
    <row r="374" customFormat="false" ht="15" hidden="false" customHeight="false" outlineLevel="0" collapsed="false">
      <c r="A374" s="20"/>
      <c r="B374" s="21"/>
      <c r="C374" s="22"/>
      <c r="D374" s="22"/>
    </row>
    <row r="375" customFormat="false" ht="15" hidden="false" customHeight="false" outlineLevel="0" collapsed="false">
      <c r="A375" s="20"/>
      <c r="B375" s="21"/>
      <c r="C375" s="22"/>
      <c r="D375" s="22"/>
    </row>
    <row r="376" customFormat="false" ht="15" hidden="false" customHeight="false" outlineLevel="0" collapsed="false">
      <c r="A376" s="20"/>
      <c r="B376" s="21"/>
      <c r="C376" s="22"/>
      <c r="D376" s="22"/>
    </row>
    <row r="377" customFormat="false" ht="15" hidden="false" customHeight="false" outlineLevel="0" collapsed="false">
      <c r="A377" s="20"/>
      <c r="B377" s="21"/>
      <c r="C377" s="22"/>
      <c r="D377" s="22"/>
    </row>
    <row r="378" customFormat="false" ht="15" hidden="false" customHeight="false" outlineLevel="0" collapsed="false">
      <c r="A378" s="20"/>
      <c r="B378" s="21"/>
      <c r="C378" s="22"/>
      <c r="D378" s="22"/>
    </row>
    <row r="379" customFormat="false" ht="15" hidden="false" customHeight="false" outlineLevel="0" collapsed="false">
      <c r="A379" s="20"/>
      <c r="B379" s="21"/>
      <c r="C379" s="22"/>
      <c r="D379" s="22"/>
    </row>
    <row r="380" customFormat="false" ht="15" hidden="false" customHeight="false" outlineLevel="0" collapsed="false">
      <c r="A380" s="20"/>
      <c r="B380" s="21"/>
      <c r="C380" s="22"/>
      <c r="D380" s="22"/>
    </row>
    <row r="381" customFormat="false" ht="15" hidden="false" customHeight="false" outlineLevel="0" collapsed="false">
      <c r="A381" s="20"/>
      <c r="B381" s="21"/>
      <c r="C381" s="22"/>
      <c r="D381" s="22"/>
    </row>
    <row r="382" customFormat="false" ht="15" hidden="false" customHeight="false" outlineLevel="0" collapsed="false">
      <c r="A382" s="20"/>
      <c r="B382" s="21"/>
      <c r="C382" s="22"/>
      <c r="D382" s="22"/>
    </row>
    <row r="383" customFormat="false" ht="15" hidden="false" customHeight="false" outlineLevel="0" collapsed="false">
      <c r="A383" s="20"/>
      <c r="B383" s="21"/>
      <c r="C383" s="22"/>
      <c r="D383" s="22"/>
    </row>
    <row r="384" customFormat="false" ht="15" hidden="false" customHeight="false" outlineLevel="0" collapsed="false">
      <c r="A384" s="20"/>
      <c r="B384" s="21"/>
      <c r="C384" s="22"/>
      <c r="D384" s="22"/>
    </row>
    <row r="385" customFormat="false" ht="15" hidden="false" customHeight="false" outlineLevel="0" collapsed="false">
      <c r="A385" s="20"/>
      <c r="B385" s="21"/>
      <c r="C385" s="22"/>
      <c r="D385" s="22"/>
    </row>
    <row r="386" customFormat="false" ht="15" hidden="false" customHeight="false" outlineLevel="0" collapsed="false">
      <c r="A386" s="20"/>
      <c r="B386" s="21"/>
      <c r="C386" s="22"/>
      <c r="D386" s="22"/>
    </row>
    <row r="387" customFormat="false" ht="15" hidden="false" customHeight="false" outlineLevel="0" collapsed="false">
      <c r="A387" s="20"/>
      <c r="B387" s="21"/>
      <c r="C387" s="22"/>
      <c r="D387" s="22"/>
    </row>
    <row r="388" customFormat="false" ht="15" hidden="false" customHeight="false" outlineLevel="0" collapsed="false">
      <c r="A388" s="20"/>
      <c r="B388" s="21"/>
      <c r="C388" s="22"/>
      <c r="D388" s="22"/>
    </row>
    <row r="389" customFormat="false" ht="15" hidden="false" customHeight="false" outlineLevel="0" collapsed="false">
      <c r="A389" s="20"/>
      <c r="B389" s="21"/>
      <c r="C389" s="22"/>
      <c r="D389" s="22"/>
    </row>
    <row r="390" customFormat="false" ht="15" hidden="false" customHeight="false" outlineLevel="0" collapsed="false">
      <c r="A390" s="20"/>
      <c r="B390" s="21"/>
      <c r="C390" s="22"/>
      <c r="D390" s="22"/>
    </row>
    <row r="391" customFormat="false" ht="15" hidden="false" customHeight="false" outlineLevel="0" collapsed="false">
      <c r="A391" s="20"/>
      <c r="B391" s="21"/>
      <c r="C391" s="22"/>
      <c r="D391" s="22"/>
    </row>
    <row r="392" customFormat="false" ht="15" hidden="false" customHeight="false" outlineLevel="0" collapsed="false">
      <c r="A392" s="20"/>
      <c r="B392" s="21"/>
      <c r="C392" s="22"/>
      <c r="D392" s="22"/>
    </row>
    <row r="393" customFormat="false" ht="15" hidden="false" customHeight="false" outlineLevel="0" collapsed="false">
      <c r="A393" s="20"/>
      <c r="B393" s="21"/>
      <c r="C393" s="22"/>
      <c r="D393" s="22"/>
    </row>
    <row r="394" customFormat="false" ht="15" hidden="false" customHeight="false" outlineLevel="0" collapsed="false">
      <c r="A394" s="20"/>
      <c r="B394" s="21"/>
      <c r="C394" s="22"/>
      <c r="D394" s="22"/>
    </row>
    <row r="395" customFormat="false" ht="15" hidden="false" customHeight="false" outlineLevel="0" collapsed="false">
      <c r="A395" s="20"/>
      <c r="B395" s="21"/>
      <c r="C395" s="22"/>
      <c r="D395" s="22"/>
    </row>
    <row r="396" customFormat="false" ht="15" hidden="false" customHeight="false" outlineLevel="0" collapsed="false">
      <c r="A396" s="20"/>
      <c r="B396" s="21"/>
      <c r="C396" s="22"/>
      <c r="D396" s="22"/>
    </row>
    <row r="397" customFormat="false" ht="15" hidden="false" customHeight="false" outlineLevel="0" collapsed="false">
      <c r="A397" s="20"/>
      <c r="B397" s="21"/>
      <c r="C397" s="22"/>
      <c r="D397" s="22"/>
    </row>
    <row r="398" customFormat="false" ht="15" hidden="false" customHeight="false" outlineLevel="0" collapsed="false">
      <c r="A398" s="20"/>
      <c r="B398" s="21"/>
      <c r="C398" s="22"/>
      <c r="D398" s="22"/>
    </row>
    <row r="399" customFormat="false" ht="15" hidden="false" customHeight="false" outlineLevel="0" collapsed="false">
      <c r="A399" s="20"/>
      <c r="B399" s="21"/>
      <c r="C399" s="22"/>
      <c r="D399" s="22"/>
    </row>
    <row r="400" customFormat="false" ht="15" hidden="false" customHeight="false" outlineLevel="0" collapsed="false">
      <c r="A400" s="20"/>
      <c r="B400" s="21"/>
      <c r="C400" s="22"/>
      <c r="D400" s="22"/>
    </row>
    <row r="401" customFormat="false" ht="15" hidden="false" customHeight="false" outlineLevel="0" collapsed="false">
      <c r="A401" s="20"/>
      <c r="B401" s="21"/>
      <c r="C401" s="22"/>
      <c r="D401" s="22"/>
    </row>
    <row r="402" customFormat="false" ht="15" hidden="false" customHeight="false" outlineLevel="0" collapsed="false">
      <c r="A402" s="20"/>
      <c r="B402" s="21"/>
      <c r="C402" s="22"/>
      <c r="D402" s="22"/>
    </row>
    <row r="403" customFormat="false" ht="15" hidden="false" customHeight="false" outlineLevel="0" collapsed="false">
      <c r="A403" s="20"/>
      <c r="B403" s="21"/>
      <c r="C403" s="22"/>
      <c r="D403" s="22"/>
    </row>
    <row r="404" customFormat="false" ht="15" hidden="false" customHeight="false" outlineLevel="0" collapsed="false">
      <c r="A404" s="20"/>
      <c r="B404" s="21"/>
      <c r="C404" s="22"/>
      <c r="D404" s="22"/>
    </row>
    <row r="405" customFormat="false" ht="15" hidden="false" customHeight="false" outlineLevel="0" collapsed="false">
      <c r="A405" s="20"/>
      <c r="B405" s="21"/>
      <c r="C405" s="22"/>
      <c r="D405" s="22"/>
    </row>
    <row r="406" customFormat="false" ht="15" hidden="false" customHeight="false" outlineLevel="0" collapsed="false">
      <c r="A406" s="20"/>
      <c r="B406" s="21"/>
      <c r="C406" s="22"/>
      <c r="D406" s="22"/>
    </row>
    <row r="407" customFormat="false" ht="15" hidden="false" customHeight="false" outlineLevel="0" collapsed="false">
      <c r="A407" s="20"/>
      <c r="B407" s="21"/>
      <c r="C407" s="22"/>
      <c r="D407" s="22"/>
    </row>
    <row r="408" customFormat="false" ht="15" hidden="false" customHeight="false" outlineLevel="0" collapsed="false">
      <c r="A408" s="20"/>
      <c r="B408" s="21"/>
      <c r="C408" s="22"/>
      <c r="D408" s="22"/>
    </row>
    <row r="409" customFormat="false" ht="15" hidden="false" customHeight="false" outlineLevel="0" collapsed="false">
      <c r="A409" s="20"/>
      <c r="B409" s="21"/>
      <c r="C409" s="22"/>
      <c r="D409" s="22"/>
    </row>
    <row r="410" customFormat="false" ht="15" hidden="false" customHeight="false" outlineLevel="0" collapsed="false">
      <c r="A410" s="20"/>
      <c r="B410" s="21"/>
      <c r="C410" s="22"/>
      <c r="D410" s="22"/>
    </row>
    <row r="411" customFormat="false" ht="15" hidden="false" customHeight="false" outlineLevel="0" collapsed="false">
      <c r="A411" s="20"/>
      <c r="B411" s="21"/>
      <c r="C411" s="22"/>
      <c r="D411" s="22"/>
    </row>
    <row r="412" customFormat="false" ht="15" hidden="false" customHeight="false" outlineLevel="0" collapsed="false">
      <c r="A412" s="20"/>
      <c r="B412" s="21"/>
      <c r="C412" s="22"/>
      <c r="D412" s="22"/>
    </row>
    <row r="413" customFormat="false" ht="15" hidden="false" customHeight="false" outlineLevel="0" collapsed="false">
      <c r="A413" s="20"/>
      <c r="B413" s="21"/>
      <c r="C413" s="22"/>
      <c r="D413" s="22"/>
    </row>
    <row r="414" customFormat="false" ht="15" hidden="false" customHeight="false" outlineLevel="0" collapsed="false">
      <c r="A414" s="20"/>
      <c r="B414" s="21"/>
      <c r="C414" s="22"/>
      <c r="D414" s="22"/>
    </row>
    <row r="415" customFormat="false" ht="15" hidden="false" customHeight="false" outlineLevel="0" collapsed="false">
      <c r="A415" s="20"/>
      <c r="B415" s="21"/>
      <c r="C415" s="22"/>
      <c r="D415" s="22"/>
    </row>
    <row r="416" customFormat="false" ht="15" hidden="false" customHeight="false" outlineLevel="0" collapsed="false">
      <c r="A416" s="20"/>
      <c r="B416" s="21"/>
      <c r="C416" s="22"/>
      <c r="D416" s="22"/>
    </row>
    <row r="417" customFormat="false" ht="15" hidden="false" customHeight="false" outlineLevel="0" collapsed="false">
      <c r="A417" s="20"/>
      <c r="B417" s="21"/>
      <c r="C417" s="22"/>
      <c r="D417" s="22"/>
    </row>
    <row r="418" customFormat="false" ht="15" hidden="false" customHeight="false" outlineLevel="0" collapsed="false">
      <c r="A418" s="20"/>
      <c r="B418" s="21"/>
      <c r="C418" s="22"/>
      <c r="D418" s="22"/>
    </row>
    <row r="419" customFormat="false" ht="15" hidden="false" customHeight="false" outlineLevel="0" collapsed="false">
      <c r="A419" s="20"/>
      <c r="B419" s="21"/>
      <c r="C419" s="22"/>
      <c r="D419" s="22"/>
    </row>
    <row r="420" customFormat="false" ht="15" hidden="false" customHeight="false" outlineLevel="0" collapsed="false">
      <c r="A420" s="20"/>
      <c r="B420" s="21"/>
      <c r="C420" s="22"/>
      <c r="D420" s="22"/>
    </row>
    <row r="421" customFormat="false" ht="15" hidden="false" customHeight="false" outlineLevel="0" collapsed="false">
      <c r="A421" s="20"/>
      <c r="B421" s="21"/>
      <c r="C421" s="22"/>
      <c r="D421" s="22"/>
    </row>
    <row r="422" customFormat="false" ht="15" hidden="false" customHeight="false" outlineLevel="0" collapsed="false">
      <c r="A422" s="20"/>
      <c r="B422" s="21"/>
      <c r="C422" s="22"/>
      <c r="D422" s="22"/>
    </row>
    <row r="423" customFormat="false" ht="15" hidden="false" customHeight="false" outlineLevel="0" collapsed="false">
      <c r="A423" s="20"/>
      <c r="B423" s="21"/>
      <c r="C423" s="22"/>
      <c r="D423" s="22"/>
    </row>
    <row r="424" customFormat="false" ht="15" hidden="false" customHeight="false" outlineLevel="0" collapsed="false">
      <c r="A424" s="20"/>
      <c r="B424" s="21"/>
      <c r="C424" s="22"/>
      <c r="D424" s="22"/>
    </row>
    <row r="425" customFormat="false" ht="15" hidden="false" customHeight="false" outlineLevel="0" collapsed="false">
      <c r="A425" s="20"/>
      <c r="B425" s="21"/>
      <c r="C425" s="22"/>
      <c r="D425" s="22"/>
    </row>
    <row r="426" customFormat="false" ht="15" hidden="false" customHeight="false" outlineLevel="0" collapsed="false">
      <c r="A426" s="20"/>
      <c r="B426" s="21"/>
      <c r="C426" s="22"/>
      <c r="D426" s="22"/>
    </row>
    <row r="427" customFormat="false" ht="15" hidden="false" customHeight="false" outlineLevel="0" collapsed="false">
      <c r="A427" s="20"/>
      <c r="B427" s="21"/>
      <c r="C427" s="22"/>
      <c r="D427" s="22"/>
    </row>
    <row r="428" customFormat="false" ht="15" hidden="false" customHeight="false" outlineLevel="0" collapsed="false">
      <c r="A428" s="20"/>
      <c r="B428" s="21"/>
      <c r="C428" s="22"/>
      <c r="D428" s="22"/>
    </row>
    <row r="429" customFormat="false" ht="15" hidden="false" customHeight="false" outlineLevel="0" collapsed="false">
      <c r="A429" s="20"/>
      <c r="B429" s="21"/>
      <c r="C429" s="22"/>
      <c r="D429" s="22"/>
    </row>
    <row r="430" customFormat="false" ht="15" hidden="false" customHeight="false" outlineLevel="0" collapsed="false">
      <c r="A430" s="20"/>
      <c r="B430" s="21"/>
      <c r="C430" s="22"/>
      <c r="D430" s="22"/>
    </row>
    <row r="431" customFormat="false" ht="15" hidden="false" customHeight="false" outlineLevel="0" collapsed="false">
      <c r="A431" s="20"/>
      <c r="B431" s="21"/>
      <c r="C431" s="22"/>
      <c r="D431" s="22"/>
    </row>
    <row r="432" customFormat="false" ht="15" hidden="false" customHeight="false" outlineLevel="0" collapsed="false">
      <c r="A432" s="20"/>
      <c r="B432" s="21"/>
      <c r="C432" s="22"/>
      <c r="D432" s="22"/>
    </row>
    <row r="433" customFormat="false" ht="15" hidden="false" customHeight="false" outlineLevel="0" collapsed="false">
      <c r="A433" s="20"/>
      <c r="B433" s="21"/>
      <c r="C433" s="22"/>
      <c r="D433" s="22"/>
    </row>
    <row r="434" customFormat="false" ht="15" hidden="false" customHeight="false" outlineLevel="0" collapsed="false">
      <c r="A434" s="20"/>
      <c r="B434" s="21"/>
      <c r="C434" s="22"/>
      <c r="D434" s="22"/>
    </row>
    <row r="435" customFormat="false" ht="15" hidden="false" customHeight="false" outlineLevel="0" collapsed="false">
      <c r="A435" s="20"/>
      <c r="B435" s="21"/>
      <c r="C435" s="22"/>
      <c r="D435" s="22"/>
    </row>
    <row r="436" customFormat="false" ht="15" hidden="false" customHeight="false" outlineLevel="0" collapsed="false">
      <c r="A436" s="20"/>
      <c r="B436" s="21"/>
      <c r="C436" s="22"/>
      <c r="D436" s="22"/>
    </row>
    <row r="437" customFormat="false" ht="15" hidden="false" customHeight="false" outlineLevel="0" collapsed="false">
      <c r="A437" s="20"/>
      <c r="B437" s="21"/>
      <c r="C437" s="22"/>
      <c r="D437" s="22"/>
    </row>
    <row r="438" customFormat="false" ht="15" hidden="false" customHeight="false" outlineLevel="0" collapsed="false">
      <c r="A438" s="20"/>
      <c r="B438" s="21"/>
      <c r="C438" s="22"/>
      <c r="D438" s="22"/>
    </row>
    <row r="439" customFormat="false" ht="15" hidden="false" customHeight="false" outlineLevel="0" collapsed="false">
      <c r="A439" s="20"/>
      <c r="B439" s="21"/>
      <c r="C439" s="22"/>
      <c r="D439" s="22"/>
    </row>
    <row r="440" customFormat="false" ht="15" hidden="false" customHeight="false" outlineLevel="0" collapsed="false">
      <c r="A440" s="20"/>
      <c r="B440" s="21"/>
      <c r="C440" s="22"/>
      <c r="D440" s="22"/>
    </row>
    <row r="441" customFormat="false" ht="15" hidden="false" customHeight="false" outlineLevel="0" collapsed="false">
      <c r="A441" s="20"/>
      <c r="B441" s="21"/>
      <c r="C441" s="22"/>
      <c r="D441" s="22"/>
    </row>
    <row r="442" customFormat="false" ht="15" hidden="false" customHeight="false" outlineLevel="0" collapsed="false">
      <c r="A442" s="20"/>
      <c r="B442" s="21"/>
      <c r="C442" s="22"/>
      <c r="D442" s="22"/>
    </row>
    <row r="443" customFormat="false" ht="15" hidden="false" customHeight="false" outlineLevel="0" collapsed="false">
      <c r="A443" s="20"/>
      <c r="B443" s="21"/>
      <c r="C443" s="22"/>
      <c r="D443" s="22"/>
    </row>
    <row r="444" customFormat="false" ht="15" hidden="false" customHeight="false" outlineLevel="0" collapsed="false">
      <c r="A444" s="20"/>
      <c r="B444" s="21"/>
      <c r="C444" s="22"/>
      <c r="D444" s="22"/>
    </row>
    <row r="445" customFormat="false" ht="15" hidden="false" customHeight="false" outlineLevel="0" collapsed="false">
      <c r="A445" s="20"/>
      <c r="B445" s="21"/>
      <c r="C445" s="22"/>
      <c r="D445" s="22"/>
    </row>
    <row r="446" customFormat="false" ht="15" hidden="false" customHeight="false" outlineLevel="0" collapsed="false">
      <c r="A446" s="20"/>
      <c r="B446" s="21"/>
      <c r="C446" s="22"/>
      <c r="D446" s="22"/>
    </row>
    <row r="447" customFormat="false" ht="15" hidden="false" customHeight="false" outlineLevel="0" collapsed="false">
      <c r="A447" s="20"/>
      <c r="B447" s="21"/>
      <c r="C447" s="22"/>
      <c r="D447" s="22"/>
    </row>
    <row r="448" customFormat="false" ht="15" hidden="false" customHeight="false" outlineLevel="0" collapsed="false">
      <c r="A448" s="20"/>
      <c r="B448" s="21"/>
      <c r="C448" s="22"/>
      <c r="D448" s="22"/>
    </row>
    <row r="449" customFormat="false" ht="15" hidden="false" customHeight="false" outlineLevel="0" collapsed="false">
      <c r="A449" s="20"/>
      <c r="B449" s="21"/>
      <c r="C449" s="22"/>
      <c r="D449" s="22"/>
    </row>
    <row r="450" customFormat="false" ht="15" hidden="false" customHeight="false" outlineLevel="0" collapsed="false">
      <c r="A450" s="20"/>
      <c r="B450" s="21"/>
      <c r="C450" s="22"/>
      <c r="D450" s="22"/>
    </row>
    <row r="451" customFormat="false" ht="15" hidden="false" customHeight="false" outlineLevel="0" collapsed="false">
      <c r="A451" s="20"/>
      <c r="B451" s="21"/>
      <c r="C451" s="22"/>
      <c r="D451" s="22"/>
    </row>
    <row r="452" customFormat="false" ht="15" hidden="false" customHeight="false" outlineLevel="0" collapsed="false">
      <c r="A452" s="20"/>
      <c r="B452" s="21"/>
      <c r="C452" s="22"/>
      <c r="D452" s="22"/>
    </row>
    <row r="453" customFormat="false" ht="15" hidden="false" customHeight="false" outlineLevel="0" collapsed="false">
      <c r="A453" s="20"/>
      <c r="B453" s="21"/>
      <c r="C453" s="22"/>
      <c r="D453" s="22"/>
    </row>
    <row r="454" customFormat="false" ht="15" hidden="false" customHeight="false" outlineLevel="0" collapsed="false">
      <c r="A454" s="20"/>
      <c r="B454" s="21"/>
      <c r="C454" s="22"/>
      <c r="D454" s="22"/>
    </row>
    <row r="455" customFormat="false" ht="15" hidden="false" customHeight="false" outlineLevel="0" collapsed="false">
      <c r="A455" s="20"/>
      <c r="B455" s="21"/>
      <c r="C455" s="22"/>
      <c r="D455" s="22"/>
    </row>
    <row r="456" customFormat="false" ht="15" hidden="false" customHeight="false" outlineLevel="0" collapsed="false">
      <c r="A456" s="20"/>
      <c r="B456" s="21"/>
      <c r="C456" s="22"/>
      <c r="D456" s="22"/>
    </row>
    <row r="457" customFormat="false" ht="15" hidden="false" customHeight="false" outlineLevel="0" collapsed="false">
      <c r="A457" s="20"/>
      <c r="B457" s="21"/>
      <c r="C457" s="22"/>
      <c r="D457" s="22"/>
    </row>
    <row r="458" customFormat="false" ht="15" hidden="false" customHeight="false" outlineLevel="0" collapsed="false">
      <c r="A458" s="20"/>
      <c r="B458" s="21"/>
      <c r="C458" s="22"/>
      <c r="D458" s="22"/>
    </row>
    <row r="459" customFormat="false" ht="15" hidden="false" customHeight="false" outlineLevel="0" collapsed="false">
      <c r="A459" s="20"/>
      <c r="B459" s="21"/>
      <c r="C459" s="22"/>
      <c r="D459" s="22"/>
    </row>
    <row r="460" customFormat="false" ht="15" hidden="false" customHeight="false" outlineLevel="0" collapsed="false">
      <c r="A460" s="20"/>
      <c r="B460" s="21"/>
      <c r="C460" s="22"/>
      <c r="D460" s="22"/>
    </row>
    <row r="461" customFormat="false" ht="15" hidden="false" customHeight="false" outlineLevel="0" collapsed="false">
      <c r="A461" s="20"/>
      <c r="B461" s="21"/>
      <c r="C461" s="22"/>
      <c r="D461" s="22"/>
    </row>
    <row r="462" customFormat="false" ht="15" hidden="false" customHeight="false" outlineLevel="0" collapsed="false">
      <c r="A462" s="20"/>
      <c r="B462" s="21"/>
      <c r="C462" s="22"/>
      <c r="D462" s="22"/>
    </row>
    <row r="463" customFormat="false" ht="15" hidden="false" customHeight="false" outlineLevel="0" collapsed="false">
      <c r="A463" s="20"/>
      <c r="B463" s="21"/>
      <c r="C463" s="22"/>
      <c r="D463" s="22"/>
    </row>
    <row r="464" customFormat="false" ht="15" hidden="false" customHeight="false" outlineLevel="0" collapsed="false">
      <c r="A464" s="20"/>
      <c r="B464" s="21"/>
      <c r="C464" s="22"/>
      <c r="D464" s="22"/>
    </row>
    <row r="465" customFormat="false" ht="15" hidden="false" customHeight="false" outlineLevel="0" collapsed="false">
      <c r="A465" s="20"/>
      <c r="B465" s="21"/>
      <c r="C465" s="22"/>
      <c r="D465" s="22"/>
    </row>
    <row r="466" customFormat="false" ht="15" hidden="false" customHeight="false" outlineLevel="0" collapsed="false">
      <c r="A466" s="20"/>
      <c r="B466" s="21"/>
      <c r="C466" s="22"/>
      <c r="D466" s="22"/>
    </row>
    <row r="467" customFormat="false" ht="15" hidden="false" customHeight="false" outlineLevel="0" collapsed="false">
      <c r="A467" s="20"/>
      <c r="B467" s="21"/>
      <c r="C467" s="22"/>
      <c r="D467" s="22"/>
    </row>
    <row r="468" customFormat="false" ht="15" hidden="false" customHeight="false" outlineLevel="0" collapsed="false">
      <c r="A468" s="20"/>
      <c r="B468" s="21"/>
      <c r="C468" s="22"/>
      <c r="D468" s="22"/>
    </row>
    <row r="469" customFormat="false" ht="15" hidden="false" customHeight="false" outlineLevel="0" collapsed="false">
      <c r="A469" s="20"/>
      <c r="B469" s="21"/>
      <c r="C469" s="22"/>
      <c r="D469" s="22"/>
    </row>
    <row r="470" customFormat="false" ht="15" hidden="false" customHeight="false" outlineLevel="0" collapsed="false">
      <c r="A470" s="20"/>
      <c r="B470" s="21"/>
      <c r="C470" s="22"/>
      <c r="D470" s="22"/>
    </row>
    <row r="471" customFormat="false" ht="15" hidden="false" customHeight="false" outlineLevel="0" collapsed="false">
      <c r="A471" s="20"/>
      <c r="B471" s="21"/>
      <c r="C471" s="22"/>
      <c r="D471" s="22"/>
    </row>
    <row r="472" customFormat="false" ht="15" hidden="false" customHeight="false" outlineLevel="0" collapsed="false">
      <c r="A472" s="20"/>
      <c r="B472" s="21"/>
      <c r="C472" s="22"/>
      <c r="D472" s="22"/>
    </row>
    <row r="473" customFormat="false" ht="15" hidden="false" customHeight="false" outlineLevel="0" collapsed="false">
      <c r="A473" s="20"/>
      <c r="B473" s="21"/>
      <c r="C473" s="22"/>
      <c r="D473" s="22"/>
    </row>
    <row r="474" customFormat="false" ht="15" hidden="false" customHeight="false" outlineLevel="0" collapsed="false">
      <c r="A474" s="20"/>
      <c r="B474" s="21"/>
      <c r="C474" s="22"/>
      <c r="D474" s="22"/>
    </row>
    <row r="475" customFormat="false" ht="15" hidden="false" customHeight="false" outlineLevel="0" collapsed="false">
      <c r="A475" s="20"/>
      <c r="B475" s="21"/>
      <c r="C475" s="22"/>
      <c r="D475" s="22"/>
    </row>
    <row r="476" customFormat="false" ht="15" hidden="false" customHeight="false" outlineLevel="0" collapsed="false">
      <c r="A476" s="20"/>
      <c r="B476" s="21"/>
      <c r="C476" s="22"/>
      <c r="D476" s="22"/>
    </row>
    <row r="477" customFormat="false" ht="15" hidden="false" customHeight="false" outlineLevel="0" collapsed="false">
      <c r="A477" s="20"/>
      <c r="B477" s="21"/>
      <c r="C477" s="22"/>
      <c r="D477" s="22"/>
    </row>
    <row r="478" customFormat="false" ht="15" hidden="false" customHeight="false" outlineLevel="0" collapsed="false">
      <c r="A478" s="20"/>
      <c r="B478" s="21"/>
      <c r="C478" s="22"/>
      <c r="D478" s="22"/>
    </row>
    <row r="479" customFormat="false" ht="15" hidden="false" customHeight="false" outlineLevel="0" collapsed="false">
      <c r="A479" s="20"/>
      <c r="B479" s="21"/>
      <c r="C479" s="22"/>
      <c r="D479" s="22"/>
    </row>
    <row r="480" customFormat="false" ht="15" hidden="false" customHeight="false" outlineLevel="0" collapsed="false">
      <c r="A480" s="20"/>
      <c r="B480" s="21"/>
      <c r="C480" s="22"/>
      <c r="D480" s="22"/>
    </row>
    <row r="481" customFormat="false" ht="15" hidden="false" customHeight="false" outlineLevel="0" collapsed="false">
      <c r="A481" s="20"/>
      <c r="B481" s="21"/>
      <c r="C481" s="22"/>
      <c r="D481" s="22"/>
    </row>
    <row r="482" customFormat="false" ht="15" hidden="false" customHeight="false" outlineLevel="0" collapsed="false">
      <c r="A482" s="20"/>
      <c r="B482" s="21"/>
      <c r="C482" s="22"/>
      <c r="D482" s="22"/>
    </row>
    <row r="483" customFormat="false" ht="15" hidden="false" customHeight="false" outlineLevel="0" collapsed="false">
      <c r="A483" s="20"/>
      <c r="B483" s="21"/>
      <c r="C483" s="22"/>
      <c r="D483" s="22"/>
    </row>
    <row r="484" customFormat="false" ht="15" hidden="false" customHeight="false" outlineLevel="0" collapsed="false">
      <c r="A484" s="20"/>
      <c r="B484" s="21"/>
      <c r="C484" s="22"/>
      <c r="D484" s="22"/>
    </row>
    <row r="485" customFormat="false" ht="15" hidden="false" customHeight="false" outlineLevel="0" collapsed="false">
      <c r="A485" s="20"/>
      <c r="B485" s="21"/>
      <c r="C485" s="22"/>
      <c r="D485" s="22"/>
    </row>
    <row r="486" customFormat="false" ht="15" hidden="false" customHeight="false" outlineLevel="0" collapsed="false">
      <c r="A486" s="20"/>
      <c r="B486" s="21"/>
      <c r="C486" s="22"/>
      <c r="D486" s="22"/>
    </row>
    <row r="487" customFormat="false" ht="15" hidden="false" customHeight="false" outlineLevel="0" collapsed="false">
      <c r="A487" s="20"/>
      <c r="B487" s="21"/>
      <c r="C487" s="22"/>
      <c r="D487" s="22"/>
    </row>
    <row r="488" customFormat="false" ht="15" hidden="false" customHeight="false" outlineLevel="0" collapsed="false">
      <c r="A488" s="20"/>
      <c r="B488" s="21"/>
      <c r="C488" s="22"/>
      <c r="D488" s="22"/>
    </row>
    <row r="489" customFormat="false" ht="15" hidden="false" customHeight="false" outlineLevel="0" collapsed="false">
      <c r="A489" s="20"/>
      <c r="B489" s="21"/>
      <c r="C489" s="22"/>
      <c r="D489" s="22"/>
    </row>
    <row r="490" customFormat="false" ht="15" hidden="false" customHeight="false" outlineLevel="0" collapsed="false">
      <c r="A490" s="20"/>
      <c r="B490" s="21"/>
      <c r="C490" s="22"/>
      <c r="D490" s="22"/>
    </row>
    <row r="491" customFormat="false" ht="15" hidden="false" customHeight="false" outlineLevel="0" collapsed="false">
      <c r="A491" s="20"/>
      <c r="B491" s="21"/>
      <c r="C491" s="22"/>
      <c r="D491" s="22"/>
    </row>
    <row r="492" customFormat="false" ht="15" hidden="false" customHeight="false" outlineLevel="0" collapsed="false">
      <c r="A492" s="20"/>
      <c r="B492" s="21"/>
      <c r="C492" s="22"/>
      <c r="D492" s="22"/>
    </row>
    <row r="493" customFormat="false" ht="15" hidden="false" customHeight="false" outlineLevel="0" collapsed="false">
      <c r="A493" s="20"/>
      <c r="B493" s="21"/>
      <c r="C493" s="22"/>
      <c r="D493" s="22"/>
    </row>
    <row r="494" customFormat="false" ht="15" hidden="false" customHeight="false" outlineLevel="0" collapsed="false">
      <c r="A494" s="20"/>
      <c r="B494" s="21"/>
      <c r="C494" s="22"/>
      <c r="D494" s="22"/>
    </row>
    <row r="495" customFormat="false" ht="15" hidden="false" customHeight="false" outlineLevel="0" collapsed="false">
      <c r="A495" s="20"/>
      <c r="B495" s="21"/>
      <c r="C495" s="22"/>
      <c r="D495" s="22"/>
    </row>
    <row r="496" customFormat="false" ht="15" hidden="false" customHeight="false" outlineLevel="0" collapsed="false">
      <c r="A496" s="20"/>
      <c r="B496" s="21"/>
      <c r="C496" s="22"/>
      <c r="D496" s="22"/>
    </row>
    <row r="497" customFormat="false" ht="15" hidden="false" customHeight="false" outlineLevel="0" collapsed="false">
      <c r="A497" s="20"/>
      <c r="B497" s="21"/>
      <c r="C497" s="22"/>
      <c r="D497" s="22"/>
    </row>
    <row r="498" customFormat="false" ht="15" hidden="false" customHeight="false" outlineLevel="0" collapsed="false">
      <c r="A498" s="20"/>
      <c r="B498" s="21"/>
      <c r="C498" s="22"/>
      <c r="D498" s="22"/>
    </row>
    <row r="499" customFormat="false" ht="15" hidden="false" customHeight="false" outlineLevel="0" collapsed="false">
      <c r="A499" s="20"/>
      <c r="B499" s="21"/>
      <c r="C499" s="22"/>
      <c r="D499" s="22"/>
    </row>
    <row r="500" customFormat="false" ht="15" hidden="false" customHeight="false" outlineLevel="0" collapsed="false">
      <c r="A500" s="20"/>
      <c r="B500" s="21"/>
      <c r="C500" s="22"/>
      <c r="D500" s="22"/>
    </row>
    <row r="501" customFormat="false" ht="15" hidden="false" customHeight="false" outlineLevel="0" collapsed="false">
      <c r="A501" s="20"/>
      <c r="B501" s="21"/>
      <c r="C501" s="22"/>
      <c r="D501" s="22"/>
    </row>
  </sheetData>
  <dataValidations count="2">
    <dataValidation allowBlank="true" errorStyle="stop" operator="between" showDropDown="false" showErrorMessage="false" showInputMessage="false" sqref="C2:C501" type="list">
      <formula1>"Producer,Game Designer,Technical Director,Programmer,QA,Einarbeitung / Lernen"</formula1>
      <formula2>0</formula2>
    </dataValidation>
    <dataValidation allowBlank="true" errorStyle="stop" operator="between" showDropDown="false" showErrorMessage="false" showInputMessage="false" sqref="B2:B501" type="decimal">
      <formula1>0</formula1>
      <formula2>16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42"/>
    <col collapsed="false" customWidth="true" hidden="false" outlineLevel="0" max="4" min="4" style="0" width="38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11" min="9" style="0" width="7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32"/>
    <col collapsed="false" customWidth="true" hidden="false" outlineLevel="0" max="16" min="16" style="0" width="18"/>
  </cols>
  <sheetData>
    <row r="1" customFormat="false" ht="31.5" hidden="false" customHeight="true" outlineLevel="0" collapsed="false">
      <c r="A1" s="15" t="s">
        <v>74</v>
      </c>
      <c r="B1" s="15" t="s">
        <v>75</v>
      </c>
      <c r="C1" s="15" t="s">
        <v>76</v>
      </c>
      <c r="D1" s="15" t="s">
        <v>77</v>
      </c>
      <c r="E1" s="15" t="s">
        <v>78</v>
      </c>
      <c r="F1" s="15" t="s">
        <v>79</v>
      </c>
      <c r="G1" s="15" t="s">
        <v>80</v>
      </c>
      <c r="H1" s="15" t="s">
        <v>81</v>
      </c>
      <c r="I1" s="15" t="s">
        <v>82</v>
      </c>
      <c r="J1" s="15" t="s">
        <v>83</v>
      </c>
      <c r="K1" s="15" t="s">
        <v>84</v>
      </c>
      <c r="L1" s="15" t="s">
        <v>85</v>
      </c>
      <c r="M1" s="15" t="s">
        <v>86</v>
      </c>
      <c r="N1" s="15" t="s">
        <v>87</v>
      </c>
      <c r="O1" s="15" t="s">
        <v>88</v>
      </c>
      <c r="P1" s="15" t="s">
        <v>89</v>
      </c>
    </row>
    <row r="2" customFormat="false" ht="35.05" hidden="false" customHeight="false" outlineLevel="0" collapsed="false">
      <c r="A2" s="19" t="s">
        <v>90</v>
      </c>
      <c r="B2" s="19" t="s">
        <v>91</v>
      </c>
      <c r="C2" s="19" t="s">
        <v>92</v>
      </c>
      <c r="D2" s="19" t="s">
        <v>93</v>
      </c>
      <c r="E2" s="19" t="s">
        <v>94</v>
      </c>
      <c r="F2" s="19" t="s">
        <v>95</v>
      </c>
      <c r="G2" s="19" t="s">
        <v>96</v>
      </c>
      <c r="H2" s="19" t="n">
        <v>1</v>
      </c>
      <c r="I2" s="19" t="n">
        <v>2</v>
      </c>
      <c r="J2" s="19" t="n">
        <v>4</v>
      </c>
      <c r="K2" s="19" t="n">
        <v>8</v>
      </c>
      <c r="L2" s="23" t="n">
        <f aca="false">IF(COUNT(I2:K2)=3,(I2+4*J2+K2)/6,"")</f>
        <v>4.33333333333333</v>
      </c>
      <c r="M2" s="19" t="n">
        <v>6</v>
      </c>
      <c r="N2" s="23" t="n">
        <f aca="false">IF(AND(ISNUMBER(M2),ISNUMBER(L2)),M2-L2,"")</f>
        <v>1.66666666666667</v>
      </c>
      <c r="O2" s="22"/>
      <c r="P2" s="19" t="s">
        <v>97</v>
      </c>
    </row>
    <row r="3" customFormat="false" ht="15" hidden="false" customHeight="false" outlineLevel="0" collapsed="false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3" t="str">
        <f aca="false">IF(COUNT(I3:K3)=3,(I3+4*J3+K3)/6,"")</f>
        <v/>
      </c>
      <c r="M3" s="22"/>
      <c r="N3" s="23" t="str">
        <f aca="false">IF(AND(ISNUMBER(M3),ISNUMBER(L3)),M3-L3,"")</f>
        <v/>
      </c>
      <c r="O3" s="22"/>
      <c r="P3" s="22"/>
    </row>
    <row r="4" customFormat="false" ht="15" hidden="false" customHeight="false" outlineLevel="0" collapsed="false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3" t="str">
        <f aca="false">IF(COUNT(I4:K4)=3,(I4+4*J4+K4)/6,"")</f>
        <v/>
      </c>
      <c r="M4" s="22"/>
      <c r="N4" s="23" t="str">
        <f aca="false">IF(AND(ISNUMBER(M4),ISNUMBER(L4)),M4-L4,"")</f>
        <v/>
      </c>
      <c r="O4" s="22"/>
      <c r="P4" s="22"/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3" t="str">
        <f aca="false">IF(COUNT(I5:K5)=3,(I5+4*J5+K5)/6,"")</f>
        <v/>
      </c>
      <c r="M5" s="22"/>
      <c r="N5" s="23" t="str">
        <f aca="false">IF(AND(ISNUMBER(M5),ISNUMBER(L5)),M5-L5,"")</f>
        <v/>
      </c>
      <c r="O5" s="22"/>
      <c r="P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3" t="str">
        <f aca="false">IF(COUNT(I6:K6)=3,(I6+4*J6+K6)/6,"")</f>
        <v/>
      </c>
      <c r="M6" s="22"/>
      <c r="N6" s="23" t="str">
        <f aca="false">IF(AND(ISNUMBER(M6),ISNUMBER(L6)),M6-L6,"")</f>
        <v/>
      </c>
      <c r="O6" s="22"/>
      <c r="P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3" t="str">
        <f aca="false">IF(COUNT(I7:K7)=3,(I7+4*J7+K7)/6,"")</f>
        <v/>
      </c>
      <c r="M7" s="22"/>
      <c r="N7" s="23" t="str">
        <f aca="false">IF(AND(ISNUMBER(M7),ISNUMBER(L7)),M7-L7,"")</f>
        <v/>
      </c>
      <c r="O7" s="22"/>
      <c r="P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3" t="str">
        <f aca="false">IF(COUNT(I8:K8)=3,(I8+4*J8+K8)/6,"")</f>
        <v/>
      </c>
      <c r="M8" s="22"/>
      <c r="N8" s="23" t="str">
        <f aca="false">IF(AND(ISNUMBER(M8),ISNUMBER(L8)),M8-L8,"")</f>
        <v/>
      </c>
      <c r="O8" s="22"/>
      <c r="P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3" t="str">
        <f aca="false">IF(COUNT(I9:K9)=3,(I9+4*J9+K9)/6,"")</f>
        <v/>
      </c>
      <c r="M9" s="22"/>
      <c r="N9" s="23" t="str">
        <f aca="false">IF(AND(ISNUMBER(M9),ISNUMBER(L9)),M9-L9,"")</f>
        <v/>
      </c>
      <c r="O9" s="22"/>
      <c r="P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3" t="str">
        <f aca="false">IF(COUNT(I10:K10)=3,(I10+4*J10+K10)/6,"")</f>
        <v/>
      </c>
      <c r="M10" s="22"/>
      <c r="N10" s="23" t="str">
        <f aca="false">IF(AND(ISNUMBER(M10),ISNUMBER(L10)),M10-L10,"")</f>
        <v/>
      </c>
      <c r="O10" s="22"/>
      <c r="P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3" t="str">
        <f aca="false">IF(COUNT(I11:K11)=3,(I11+4*J11+K11)/6,"")</f>
        <v/>
      </c>
      <c r="M11" s="22"/>
      <c r="N11" s="23" t="str">
        <f aca="false">IF(AND(ISNUMBER(M11),ISNUMBER(L11)),M11-L11,"")</f>
        <v/>
      </c>
      <c r="O11" s="22"/>
      <c r="P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3" t="str">
        <f aca="false">IF(COUNT(I12:K12)=3,(I12+4*J12+K12)/6,"")</f>
        <v/>
      </c>
      <c r="M12" s="22"/>
      <c r="N12" s="23" t="str">
        <f aca="false">IF(AND(ISNUMBER(M12),ISNUMBER(L12)),M12-L12,"")</f>
        <v/>
      </c>
      <c r="O12" s="22"/>
      <c r="P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3" t="str">
        <f aca="false">IF(COUNT(I13:K13)=3,(I13+4*J13+K13)/6,"")</f>
        <v/>
      </c>
      <c r="M13" s="22"/>
      <c r="N13" s="23" t="str">
        <f aca="false">IF(AND(ISNUMBER(M13),ISNUMBER(L13)),M13-L13,"")</f>
        <v/>
      </c>
      <c r="O13" s="22"/>
      <c r="P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3" t="str">
        <f aca="false">IF(COUNT(I14:K14)=3,(I14+4*J14+K14)/6,"")</f>
        <v/>
      </c>
      <c r="M14" s="22"/>
      <c r="N14" s="23" t="str">
        <f aca="false">IF(AND(ISNUMBER(M14),ISNUMBER(L14)),M14-L14,"")</f>
        <v/>
      </c>
      <c r="O14" s="22"/>
      <c r="P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3" t="str">
        <f aca="false">IF(COUNT(I15:K15)=3,(I15+4*J15+K15)/6,"")</f>
        <v/>
      </c>
      <c r="M15" s="22"/>
      <c r="N15" s="23" t="str">
        <f aca="false">IF(AND(ISNUMBER(M15),ISNUMBER(L15)),M15-L15,"")</f>
        <v/>
      </c>
      <c r="O15" s="22"/>
      <c r="P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3" t="str">
        <f aca="false">IF(COUNT(I16:K16)=3,(I16+4*J16+K16)/6,"")</f>
        <v/>
      </c>
      <c r="M16" s="22"/>
      <c r="N16" s="23" t="str">
        <f aca="false">IF(AND(ISNUMBER(M16),ISNUMBER(L16)),M16-L16,"")</f>
        <v/>
      </c>
      <c r="O16" s="22"/>
      <c r="P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3" t="str">
        <f aca="false">IF(COUNT(I17:K17)=3,(I17+4*J17+K17)/6,"")</f>
        <v/>
      </c>
      <c r="M17" s="22"/>
      <c r="N17" s="23" t="str">
        <f aca="false">IF(AND(ISNUMBER(M17),ISNUMBER(L17)),M17-L17,"")</f>
        <v/>
      </c>
      <c r="O17" s="22"/>
      <c r="P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3" t="str">
        <f aca="false">IF(COUNT(I18:K18)=3,(I18+4*J18+K18)/6,"")</f>
        <v/>
      </c>
      <c r="M18" s="22"/>
      <c r="N18" s="23" t="str">
        <f aca="false">IF(AND(ISNUMBER(M18),ISNUMBER(L18)),M18-L18,"")</f>
        <v/>
      </c>
      <c r="O18" s="22"/>
      <c r="P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3" t="str">
        <f aca="false">IF(COUNT(I19:K19)=3,(I19+4*J19+K19)/6,"")</f>
        <v/>
      </c>
      <c r="M19" s="22"/>
      <c r="N19" s="23" t="str">
        <f aca="false">IF(AND(ISNUMBER(M19),ISNUMBER(L19)),M19-L19,"")</f>
        <v/>
      </c>
      <c r="O19" s="22"/>
      <c r="P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3" t="str">
        <f aca="false">IF(COUNT(I20:K20)=3,(I20+4*J20+K20)/6,"")</f>
        <v/>
      </c>
      <c r="M20" s="22"/>
      <c r="N20" s="23" t="str">
        <f aca="false">IF(AND(ISNUMBER(M20),ISNUMBER(L20)),M20-L20,"")</f>
        <v/>
      </c>
      <c r="O20" s="22"/>
      <c r="P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3" t="str">
        <f aca="false">IF(COUNT(I21:K21)=3,(I21+4*J21+K21)/6,"")</f>
        <v/>
      </c>
      <c r="M21" s="22"/>
      <c r="N21" s="23" t="str">
        <f aca="false">IF(AND(ISNUMBER(M21),ISNUMBER(L21)),M21-L21,"")</f>
        <v/>
      </c>
      <c r="O21" s="22"/>
      <c r="P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3" t="str">
        <f aca="false">IF(COUNT(I22:K22)=3,(I22+4*J22+K22)/6,"")</f>
        <v/>
      </c>
      <c r="M22" s="22"/>
      <c r="N22" s="23" t="str">
        <f aca="false">IF(AND(ISNUMBER(M22),ISNUMBER(L22)),M22-L22,"")</f>
        <v/>
      </c>
      <c r="O22" s="22"/>
      <c r="P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3" t="str">
        <f aca="false">IF(COUNT(I23:K23)=3,(I23+4*J23+K23)/6,"")</f>
        <v/>
      </c>
      <c r="M23" s="22"/>
      <c r="N23" s="23" t="str">
        <f aca="false">IF(AND(ISNUMBER(M23),ISNUMBER(L23)),M23-L23,"")</f>
        <v/>
      </c>
      <c r="O23" s="22"/>
      <c r="P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3" t="str">
        <f aca="false">IF(COUNT(I24:K24)=3,(I24+4*J24+K24)/6,"")</f>
        <v/>
      </c>
      <c r="M24" s="22"/>
      <c r="N24" s="23" t="str">
        <f aca="false">IF(AND(ISNUMBER(M24),ISNUMBER(L24)),M24-L24,"")</f>
        <v/>
      </c>
      <c r="O24" s="22"/>
      <c r="P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3" t="str">
        <f aca="false">IF(COUNT(I25:K25)=3,(I25+4*J25+K25)/6,"")</f>
        <v/>
      </c>
      <c r="M25" s="22"/>
      <c r="N25" s="23" t="str">
        <f aca="false">IF(AND(ISNUMBER(M25),ISNUMBER(L25)),M25-L25,"")</f>
        <v/>
      </c>
      <c r="O25" s="22"/>
      <c r="P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3" t="str">
        <f aca="false">IF(COUNT(I26:K26)=3,(I26+4*J26+K26)/6,"")</f>
        <v/>
      </c>
      <c r="M26" s="22"/>
      <c r="N26" s="23" t="str">
        <f aca="false">IF(AND(ISNUMBER(M26),ISNUMBER(L26)),M26-L26,"")</f>
        <v/>
      </c>
      <c r="O26" s="22"/>
      <c r="P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3" t="str">
        <f aca="false">IF(COUNT(I27:K27)=3,(I27+4*J27+K27)/6,"")</f>
        <v/>
      </c>
      <c r="M27" s="22"/>
      <c r="N27" s="23" t="str">
        <f aca="false">IF(AND(ISNUMBER(M27),ISNUMBER(L27)),M27-L27,"")</f>
        <v/>
      </c>
      <c r="O27" s="22"/>
      <c r="P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3" t="str">
        <f aca="false">IF(COUNT(I28:K28)=3,(I28+4*J28+K28)/6,"")</f>
        <v/>
      </c>
      <c r="M28" s="22"/>
      <c r="N28" s="23" t="str">
        <f aca="false">IF(AND(ISNUMBER(M28),ISNUMBER(L28)),M28-L28,"")</f>
        <v/>
      </c>
      <c r="O28" s="22"/>
      <c r="P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3" t="str">
        <f aca="false">IF(COUNT(I29:K29)=3,(I29+4*J29+K29)/6,"")</f>
        <v/>
      </c>
      <c r="M29" s="22"/>
      <c r="N29" s="23" t="str">
        <f aca="false">IF(AND(ISNUMBER(M29),ISNUMBER(L29)),M29-L29,"")</f>
        <v/>
      </c>
      <c r="O29" s="22"/>
      <c r="P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3" t="str">
        <f aca="false">IF(COUNT(I30:K30)=3,(I30+4*J30+K30)/6,"")</f>
        <v/>
      </c>
      <c r="M30" s="22"/>
      <c r="N30" s="23" t="str">
        <f aca="false">IF(AND(ISNUMBER(M30),ISNUMBER(L30)),M30-L30,"")</f>
        <v/>
      </c>
      <c r="O30" s="22"/>
      <c r="P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3" t="str">
        <f aca="false">IF(COUNT(I31:K31)=3,(I31+4*J31+K31)/6,"")</f>
        <v/>
      </c>
      <c r="M31" s="22"/>
      <c r="N31" s="23" t="str">
        <f aca="false">IF(AND(ISNUMBER(M31),ISNUMBER(L31)),M31-L31,"")</f>
        <v/>
      </c>
      <c r="O31" s="22"/>
      <c r="P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3" t="str">
        <f aca="false">IF(COUNT(I32:K32)=3,(I32+4*J32+K32)/6,"")</f>
        <v/>
      </c>
      <c r="M32" s="22"/>
      <c r="N32" s="23" t="str">
        <f aca="false">IF(AND(ISNUMBER(M32),ISNUMBER(L32)),M32-L32,"")</f>
        <v/>
      </c>
      <c r="O32" s="22"/>
      <c r="P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 t="str">
        <f aca="false">IF(COUNT(I33:K33)=3,(I33+4*J33+K33)/6,"")</f>
        <v/>
      </c>
      <c r="M33" s="22"/>
      <c r="N33" s="23" t="str">
        <f aca="false">IF(AND(ISNUMBER(M33),ISNUMBER(L33)),M33-L33,"")</f>
        <v/>
      </c>
      <c r="O33" s="22"/>
      <c r="P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3" t="str">
        <f aca="false">IF(COUNT(I34:K34)=3,(I34+4*J34+K34)/6,"")</f>
        <v/>
      </c>
      <c r="M34" s="22"/>
      <c r="N34" s="23" t="str">
        <f aca="false">IF(AND(ISNUMBER(M34),ISNUMBER(L34)),M34-L34,"")</f>
        <v/>
      </c>
      <c r="O34" s="22"/>
      <c r="P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3" t="str">
        <f aca="false">IF(COUNT(I35:K35)=3,(I35+4*J35+K35)/6,"")</f>
        <v/>
      </c>
      <c r="M35" s="22"/>
      <c r="N35" s="23" t="str">
        <f aca="false">IF(AND(ISNUMBER(M35),ISNUMBER(L35)),M35-L35,"")</f>
        <v/>
      </c>
      <c r="O35" s="22"/>
      <c r="P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3" t="str">
        <f aca="false">IF(COUNT(I36:K36)=3,(I36+4*J36+K36)/6,"")</f>
        <v/>
      </c>
      <c r="M36" s="22"/>
      <c r="N36" s="23" t="str">
        <f aca="false">IF(AND(ISNUMBER(M36),ISNUMBER(L36)),M36-L36,"")</f>
        <v/>
      </c>
      <c r="O36" s="22"/>
      <c r="P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3" t="str">
        <f aca="false">IF(COUNT(I37:K37)=3,(I37+4*J37+K37)/6,"")</f>
        <v/>
      </c>
      <c r="M37" s="22"/>
      <c r="N37" s="23" t="str">
        <f aca="false">IF(AND(ISNUMBER(M37),ISNUMBER(L37)),M37-L37,"")</f>
        <v/>
      </c>
      <c r="O37" s="22"/>
      <c r="P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3" t="str">
        <f aca="false">IF(COUNT(I38:K38)=3,(I38+4*J38+K38)/6,"")</f>
        <v/>
      </c>
      <c r="M38" s="22"/>
      <c r="N38" s="23" t="str">
        <f aca="false">IF(AND(ISNUMBER(M38),ISNUMBER(L38)),M38-L38,"")</f>
        <v/>
      </c>
      <c r="O38" s="22"/>
      <c r="P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3" t="str">
        <f aca="false">IF(COUNT(I39:K39)=3,(I39+4*J39+K39)/6,"")</f>
        <v/>
      </c>
      <c r="M39" s="22"/>
      <c r="N39" s="23" t="str">
        <f aca="false">IF(AND(ISNUMBER(M39),ISNUMBER(L39)),M39-L39,"")</f>
        <v/>
      </c>
      <c r="O39" s="22"/>
      <c r="P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3" t="str">
        <f aca="false">IF(COUNT(I40:K40)=3,(I40+4*J40+K40)/6,"")</f>
        <v/>
      </c>
      <c r="M40" s="22"/>
      <c r="N40" s="23" t="str">
        <f aca="false">IF(AND(ISNUMBER(M40),ISNUMBER(L40)),M40-L40,"")</f>
        <v/>
      </c>
      <c r="O40" s="22"/>
      <c r="P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3" t="str">
        <f aca="false">IF(COUNT(I41:K41)=3,(I41+4*J41+K41)/6,"")</f>
        <v/>
      </c>
      <c r="M41" s="22"/>
      <c r="N41" s="23" t="str">
        <f aca="false">IF(AND(ISNUMBER(M41),ISNUMBER(L41)),M41-L41,"")</f>
        <v/>
      </c>
      <c r="O41" s="22"/>
      <c r="P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3" t="str">
        <f aca="false">IF(COUNT(I42:K42)=3,(I42+4*J42+K42)/6,"")</f>
        <v/>
      </c>
      <c r="M42" s="22"/>
      <c r="N42" s="23" t="str">
        <f aca="false">IF(AND(ISNUMBER(M42),ISNUMBER(L42)),M42-L42,"")</f>
        <v/>
      </c>
      <c r="O42" s="22"/>
      <c r="P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3" t="str">
        <f aca="false">IF(COUNT(I43:K43)=3,(I43+4*J43+K43)/6,"")</f>
        <v/>
      </c>
      <c r="M43" s="22"/>
      <c r="N43" s="23" t="str">
        <f aca="false">IF(AND(ISNUMBER(M43),ISNUMBER(L43)),M43-L43,"")</f>
        <v/>
      </c>
      <c r="O43" s="22"/>
      <c r="P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3" t="str">
        <f aca="false">IF(COUNT(I44:K44)=3,(I44+4*J44+K44)/6,"")</f>
        <v/>
      </c>
      <c r="M44" s="22"/>
      <c r="N44" s="23" t="str">
        <f aca="false">IF(AND(ISNUMBER(M44),ISNUMBER(L44)),M44-L44,"")</f>
        <v/>
      </c>
      <c r="O44" s="22"/>
      <c r="P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3" t="str">
        <f aca="false">IF(COUNT(I45:K45)=3,(I45+4*J45+K45)/6,"")</f>
        <v/>
      </c>
      <c r="M45" s="22"/>
      <c r="N45" s="23" t="str">
        <f aca="false">IF(AND(ISNUMBER(M45),ISNUMBER(L45)),M45-L45,"")</f>
        <v/>
      </c>
      <c r="O45" s="22"/>
      <c r="P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3" t="str">
        <f aca="false">IF(COUNT(I46:K46)=3,(I46+4*J46+K46)/6,"")</f>
        <v/>
      </c>
      <c r="M46" s="22"/>
      <c r="N46" s="23" t="str">
        <f aca="false">IF(AND(ISNUMBER(M46),ISNUMBER(L46)),M46-L46,"")</f>
        <v/>
      </c>
      <c r="O46" s="22"/>
      <c r="P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3" t="str">
        <f aca="false">IF(COUNT(I47:K47)=3,(I47+4*J47+K47)/6,"")</f>
        <v/>
      </c>
      <c r="M47" s="22"/>
      <c r="N47" s="23" t="str">
        <f aca="false">IF(AND(ISNUMBER(M47),ISNUMBER(L47)),M47-L47,"")</f>
        <v/>
      </c>
      <c r="O47" s="22"/>
      <c r="P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3" t="str">
        <f aca="false">IF(COUNT(I48:K48)=3,(I48+4*J48+K48)/6,"")</f>
        <v/>
      </c>
      <c r="M48" s="22"/>
      <c r="N48" s="23" t="str">
        <f aca="false">IF(AND(ISNUMBER(M48),ISNUMBER(L48)),M48-L48,"")</f>
        <v/>
      </c>
      <c r="O48" s="22"/>
      <c r="P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3" t="str">
        <f aca="false">IF(COUNT(I49:K49)=3,(I49+4*J49+K49)/6,"")</f>
        <v/>
      </c>
      <c r="M49" s="22"/>
      <c r="N49" s="23" t="str">
        <f aca="false">IF(AND(ISNUMBER(M49),ISNUMBER(L49)),M49-L49,"")</f>
        <v/>
      </c>
      <c r="O49" s="22"/>
      <c r="P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3" t="str">
        <f aca="false">IF(COUNT(I50:K50)=3,(I50+4*J50+K50)/6,"")</f>
        <v/>
      </c>
      <c r="M50" s="22"/>
      <c r="N50" s="23" t="str">
        <f aca="false">IF(AND(ISNUMBER(M50),ISNUMBER(L50)),M50-L50,"")</f>
        <v/>
      </c>
      <c r="O50" s="22"/>
      <c r="P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3" t="str">
        <f aca="false">IF(COUNT(I51:K51)=3,(I51+4*J51+K51)/6,"")</f>
        <v/>
      </c>
      <c r="M51" s="22"/>
      <c r="N51" s="23" t="str">
        <f aca="false">IF(AND(ISNUMBER(M51),ISNUMBER(L51)),M51-L51,"")</f>
        <v/>
      </c>
      <c r="O51" s="22"/>
      <c r="P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3" t="str">
        <f aca="false">IF(COUNT(I52:K52)=3,(I52+4*J52+K52)/6,"")</f>
        <v/>
      </c>
      <c r="M52" s="22"/>
      <c r="N52" s="23" t="str">
        <f aca="false">IF(AND(ISNUMBER(M52),ISNUMBER(L52)),M52-L52,"")</f>
        <v/>
      </c>
      <c r="O52" s="22"/>
      <c r="P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3" t="str">
        <f aca="false">IF(COUNT(I53:K53)=3,(I53+4*J53+K53)/6,"")</f>
        <v/>
      </c>
      <c r="M53" s="22"/>
      <c r="N53" s="23" t="str">
        <f aca="false">IF(AND(ISNUMBER(M53),ISNUMBER(L53)),M53-L53,"")</f>
        <v/>
      </c>
      <c r="O53" s="22"/>
      <c r="P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3" t="str">
        <f aca="false">IF(COUNT(I54:K54)=3,(I54+4*J54+K54)/6,"")</f>
        <v/>
      </c>
      <c r="M54" s="22"/>
      <c r="N54" s="23" t="str">
        <f aca="false">IF(AND(ISNUMBER(M54),ISNUMBER(L54)),M54-L54,"")</f>
        <v/>
      </c>
      <c r="O54" s="22"/>
      <c r="P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3" t="str">
        <f aca="false">IF(COUNT(I55:K55)=3,(I55+4*J55+K55)/6,"")</f>
        <v/>
      </c>
      <c r="M55" s="22"/>
      <c r="N55" s="23" t="str">
        <f aca="false">IF(AND(ISNUMBER(M55),ISNUMBER(L55)),M55-L55,"")</f>
        <v/>
      </c>
      <c r="O55" s="22"/>
      <c r="P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3" t="str">
        <f aca="false">IF(COUNT(I56:K56)=3,(I56+4*J56+K56)/6,"")</f>
        <v/>
      </c>
      <c r="M56" s="22"/>
      <c r="N56" s="23" t="str">
        <f aca="false">IF(AND(ISNUMBER(M56),ISNUMBER(L56)),M56-L56,"")</f>
        <v/>
      </c>
      <c r="O56" s="22"/>
      <c r="P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3" t="str">
        <f aca="false">IF(COUNT(I57:K57)=3,(I57+4*J57+K57)/6,"")</f>
        <v/>
      </c>
      <c r="M57" s="22"/>
      <c r="N57" s="23" t="str">
        <f aca="false">IF(AND(ISNUMBER(M57),ISNUMBER(L57)),M57-L57,"")</f>
        <v/>
      </c>
      <c r="O57" s="22"/>
      <c r="P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3" t="str">
        <f aca="false">IF(COUNT(I58:K58)=3,(I58+4*J58+K58)/6,"")</f>
        <v/>
      </c>
      <c r="M58" s="22"/>
      <c r="N58" s="23" t="str">
        <f aca="false">IF(AND(ISNUMBER(M58),ISNUMBER(L58)),M58-L58,"")</f>
        <v/>
      </c>
      <c r="O58" s="22"/>
      <c r="P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3" t="str">
        <f aca="false">IF(COUNT(I59:K59)=3,(I59+4*J59+K59)/6,"")</f>
        <v/>
      </c>
      <c r="M59" s="22"/>
      <c r="N59" s="23" t="str">
        <f aca="false">IF(AND(ISNUMBER(M59),ISNUMBER(L59)),M59-L59,"")</f>
        <v/>
      </c>
      <c r="O59" s="22"/>
      <c r="P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3" t="str">
        <f aca="false">IF(COUNT(I60:K60)=3,(I60+4*J60+K60)/6,"")</f>
        <v/>
      </c>
      <c r="M60" s="22"/>
      <c r="N60" s="23" t="str">
        <f aca="false">IF(AND(ISNUMBER(M60),ISNUMBER(L60)),M60-L60,"")</f>
        <v/>
      </c>
      <c r="O60" s="22"/>
      <c r="P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3" t="str">
        <f aca="false">IF(COUNT(I61:K61)=3,(I61+4*J61+K61)/6,"")</f>
        <v/>
      </c>
      <c r="M61" s="22"/>
      <c r="N61" s="23" t="str">
        <f aca="false">IF(AND(ISNUMBER(M61),ISNUMBER(L61)),M61-L61,"")</f>
        <v/>
      </c>
      <c r="O61" s="22"/>
      <c r="P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3" t="str">
        <f aca="false">IF(COUNT(I62:K62)=3,(I62+4*J62+K62)/6,"")</f>
        <v/>
      </c>
      <c r="M62" s="22"/>
      <c r="N62" s="23" t="str">
        <f aca="false">IF(AND(ISNUMBER(M62),ISNUMBER(L62)),M62-L62,"")</f>
        <v/>
      </c>
      <c r="O62" s="22"/>
      <c r="P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3" t="str">
        <f aca="false">IF(COUNT(I63:K63)=3,(I63+4*J63+K63)/6,"")</f>
        <v/>
      </c>
      <c r="M63" s="22"/>
      <c r="N63" s="23" t="str">
        <f aca="false">IF(AND(ISNUMBER(M63),ISNUMBER(L63)),M63-L63,"")</f>
        <v/>
      </c>
      <c r="O63" s="22"/>
      <c r="P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3" t="str">
        <f aca="false">IF(COUNT(I64:K64)=3,(I64+4*J64+K64)/6,"")</f>
        <v/>
      </c>
      <c r="M64" s="22"/>
      <c r="N64" s="23" t="str">
        <f aca="false">IF(AND(ISNUMBER(M64),ISNUMBER(L64)),M64-L64,"")</f>
        <v/>
      </c>
      <c r="O64" s="22"/>
      <c r="P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3" t="str">
        <f aca="false">IF(COUNT(I65:K65)=3,(I65+4*J65+K65)/6,"")</f>
        <v/>
      </c>
      <c r="M65" s="22"/>
      <c r="N65" s="23" t="str">
        <f aca="false">IF(AND(ISNUMBER(M65),ISNUMBER(L65)),M65-L65,"")</f>
        <v/>
      </c>
      <c r="O65" s="22"/>
      <c r="P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3" t="str">
        <f aca="false">IF(COUNT(I66:K66)=3,(I66+4*J66+K66)/6,"")</f>
        <v/>
      </c>
      <c r="M66" s="22"/>
      <c r="N66" s="23" t="str">
        <f aca="false">IF(AND(ISNUMBER(M66),ISNUMBER(L66)),M66-L66,"")</f>
        <v/>
      </c>
      <c r="O66" s="22"/>
      <c r="P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3" t="str">
        <f aca="false">IF(COUNT(I67:K67)=3,(I67+4*J67+K67)/6,"")</f>
        <v/>
      </c>
      <c r="M67" s="22"/>
      <c r="N67" s="23" t="str">
        <f aca="false">IF(AND(ISNUMBER(M67),ISNUMBER(L67)),M67-L67,"")</f>
        <v/>
      </c>
      <c r="O67" s="22"/>
      <c r="P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3" t="str">
        <f aca="false">IF(COUNT(I68:K68)=3,(I68+4*J68+K68)/6,"")</f>
        <v/>
      </c>
      <c r="M68" s="22"/>
      <c r="N68" s="23" t="str">
        <f aca="false">IF(AND(ISNUMBER(M68),ISNUMBER(L68)),M68-L68,"")</f>
        <v/>
      </c>
      <c r="O68" s="22"/>
      <c r="P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3" t="str">
        <f aca="false">IF(COUNT(I69:K69)=3,(I69+4*J69+K69)/6,"")</f>
        <v/>
      </c>
      <c r="M69" s="22"/>
      <c r="N69" s="23" t="str">
        <f aca="false">IF(AND(ISNUMBER(M69),ISNUMBER(L69)),M69-L69,"")</f>
        <v/>
      </c>
      <c r="O69" s="22"/>
      <c r="P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3" t="str">
        <f aca="false">IF(COUNT(I70:K70)=3,(I70+4*J70+K70)/6,"")</f>
        <v/>
      </c>
      <c r="M70" s="22"/>
      <c r="N70" s="23" t="str">
        <f aca="false">IF(AND(ISNUMBER(M70),ISNUMBER(L70)),M70-L70,"")</f>
        <v/>
      </c>
      <c r="O70" s="22"/>
      <c r="P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3" t="str">
        <f aca="false">IF(COUNT(I71:K71)=3,(I71+4*J71+K71)/6,"")</f>
        <v/>
      </c>
      <c r="M71" s="22"/>
      <c r="N71" s="23" t="str">
        <f aca="false">IF(AND(ISNUMBER(M71),ISNUMBER(L71)),M71-L71,"")</f>
        <v/>
      </c>
      <c r="O71" s="22"/>
      <c r="P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3" t="str">
        <f aca="false">IF(COUNT(I72:K72)=3,(I72+4*J72+K72)/6,"")</f>
        <v/>
      </c>
      <c r="M72" s="22"/>
      <c r="N72" s="23" t="str">
        <f aca="false">IF(AND(ISNUMBER(M72),ISNUMBER(L72)),M72-L72,"")</f>
        <v/>
      </c>
      <c r="O72" s="22"/>
      <c r="P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3" t="str">
        <f aca="false">IF(COUNT(I73:K73)=3,(I73+4*J73+K73)/6,"")</f>
        <v/>
      </c>
      <c r="M73" s="22"/>
      <c r="N73" s="23" t="str">
        <f aca="false">IF(AND(ISNUMBER(M73),ISNUMBER(L73)),M73-L73,"")</f>
        <v/>
      </c>
      <c r="O73" s="22"/>
      <c r="P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3" t="str">
        <f aca="false">IF(COUNT(I74:K74)=3,(I74+4*J74+K74)/6,"")</f>
        <v/>
      </c>
      <c r="M74" s="22"/>
      <c r="N74" s="23" t="str">
        <f aca="false">IF(AND(ISNUMBER(M74),ISNUMBER(L74)),M74-L74,"")</f>
        <v/>
      </c>
      <c r="O74" s="22"/>
      <c r="P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3" t="str">
        <f aca="false">IF(COUNT(I75:K75)=3,(I75+4*J75+K75)/6,"")</f>
        <v/>
      </c>
      <c r="M75" s="22"/>
      <c r="N75" s="23" t="str">
        <f aca="false">IF(AND(ISNUMBER(M75),ISNUMBER(L75)),M75-L75,"")</f>
        <v/>
      </c>
      <c r="O75" s="22"/>
      <c r="P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3" t="str">
        <f aca="false">IF(COUNT(I76:K76)=3,(I76+4*J76+K76)/6,"")</f>
        <v/>
      </c>
      <c r="M76" s="22"/>
      <c r="N76" s="23" t="str">
        <f aca="false">IF(AND(ISNUMBER(M76),ISNUMBER(L76)),M76-L76,"")</f>
        <v/>
      </c>
      <c r="O76" s="22"/>
      <c r="P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3" t="str">
        <f aca="false">IF(COUNT(I77:K77)=3,(I77+4*J77+K77)/6,"")</f>
        <v/>
      </c>
      <c r="M77" s="22"/>
      <c r="N77" s="23" t="str">
        <f aca="false">IF(AND(ISNUMBER(M77),ISNUMBER(L77)),M77-L77,"")</f>
        <v/>
      </c>
      <c r="O77" s="22"/>
      <c r="P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3" t="str">
        <f aca="false">IF(COUNT(I78:K78)=3,(I78+4*J78+K78)/6,"")</f>
        <v/>
      </c>
      <c r="M78" s="22"/>
      <c r="N78" s="23" t="str">
        <f aca="false">IF(AND(ISNUMBER(M78),ISNUMBER(L78)),M78-L78,"")</f>
        <v/>
      </c>
      <c r="O78" s="22"/>
      <c r="P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3" t="str">
        <f aca="false">IF(COUNT(I79:K79)=3,(I79+4*J79+K79)/6,"")</f>
        <v/>
      </c>
      <c r="M79" s="22"/>
      <c r="N79" s="23" t="str">
        <f aca="false">IF(AND(ISNUMBER(M79),ISNUMBER(L79)),M79-L79,"")</f>
        <v/>
      </c>
      <c r="O79" s="22"/>
      <c r="P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3" t="str">
        <f aca="false">IF(COUNT(I80:K80)=3,(I80+4*J80+K80)/6,"")</f>
        <v/>
      </c>
      <c r="M80" s="22"/>
      <c r="N80" s="23" t="str">
        <f aca="false">IF(AND(ISNUMBER(M80),ISNUMBER(L80)),M80-L80,"")</f>
        <v/>
      </c>
      <c r="O80" s="22"/>
      <c r="P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3" t="str">
        <f aca="false">IF(COUNT(I81:K81)=3,(I81+4*J81+K81)/6,"")</f>
        <v/>
      </c>
      <c r="M81" s="22"/>
      <c r="N81" s="23" t="str">
        <f aca="false">IF(AND(ISNUMBER(M81),ISNUMBER(L81)),M81-L81,"")</f>
        <v/>
      </c>
      <c r="O81" s="22"/>
      <c r="P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3" t="str">
        <f aca="false">IF(COUNT(I82:K82)=3,(I82+4*J82+K82)/6,"")</f>
        <v/>
      </c>
      <c r="M82" s="22"/>
      <c r="N82" s="23" t="str">
        <f aca="false">IF(AND(ISNUMBER(M82),ISNUMBER(L82)),M82-L82,"")</f>
        <v/>
      </c>
      <c r="O82" s="22"/>
      <c r="P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3" t="str">
        <f aca="false">IF(COUNT(I83:K83)=3,(I83+4*J83+K83)/6,"")</f>
        <v/>
      </c>
      <c r="M83" s="22"/>
      <c r="N83" s="23" t="str">
        <f aca="false">IF(AND(ISNUMBER(M83),ISNUMBER(L83)),M83-L83,"")</f>
        <v/>
      </c>
      <c r="O83" s="22"/>
      <c r="P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3" t="str">
        <f aca="false">IF(COUNT(I84:K84)=3,(I84+4*J84+K84)/6,"")</f>
        <v/>
      </c>
      <c r="M84" s="22"/>
      <c r="N84" s="23" t="str">
        <f aca="false">IF(AND(ISNUMBER(M84),ISNUMBER(L84)),M84-L84,"")</f>
        <v/>
      </c>
      <c r="O84" s="22"/>
      <c r="P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3" t="str">
        <f aca="false">IF(COUNT(I85:K85)=3,(I85+4*J85+K85)/6,"")</f>
        <v/>
      </c>
      <c r="M85" s="22"/>
      <c r="N85" s="23" t="str">
        <f aca="false">IF(AND(ISNUMBER(M85),ISNUMBER(L85)),M85-L85,"")</f>
        <v/>
      </c>
      <c r="O85" s="22"/>
      <c r="P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3" t="str">
        <f aca="false">IF(COUNT(I86:K86)=3,(I86+4*J86+K86)/6,"")</f>
        <v/>
      </c>
      <c r="M86" s="22"/>
      <c r="N86" s="23" t="str">
        <f aca="false">IF(AND(ISNUMBER(M86),ISNUMBER(L86)),M86-L86,"")</f>
        <v/>
      </c>
      <c r="O86" s="22"/>
      <c r="P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3" t="str">
        <f aca="false">IF(COUNT(I87:K87)=3,(I87+4*J87+K87)/6,"")</f>
        <v/>
      </c>
      <c r="M87" s="22"/>
      <c r="N87" s="23" t="str">
        <f aca="false">IF(AND(ISNUMBER(M87),ISNUMBER(L87)),M87-L87,"")</f>
        <v/>
      </c>
      <c r="O87" s="22"/>
      <c r="P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3" t="str">
        <f aca="false">IF(COUNT(I88:K88)=3,(I88+4*J88+K88)/6,"")</f>
        <v/>
      </c>
      <c r="M88" s="22"/>
      <c r="N88" s="23" t="str">
        <f aca="false">IF(AND(ISNUMBER(M88),ISNUMBER(L88)),M88-L88,"")</f>
        <v/>
      </c>
      <c r="O88" s="22"/>
      <c r="P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3" t="str">
        <f aca="false">IF(COUNT(I89:K89)=3,(I89+4*J89+K89)/6,"")</f>
        <v/>
      </c>
      <c r="M89" s="22"/>
      <c r="N89" s="23" t="str">
        <f aca="false">IF(AND(ISNUMBER(M89),ISNUMBER(L89)),M89-L89,"")</f>
        <v/>
      </c>
      <c r="O89" s="22"/>
      <c r="P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3" t="str">
        <f aca="false">IF(COUNT(I90:K90)=3,(I90+4*J90+K90)/6,"")</f>
        <v/>
      </c>
      <c r="M90" s="22"/>
      <c r="N90" s="23" t="str">
        <f aca="false">IF(AND(ISNUMBER(M90),ISNUMBER(L90)),M90-L90,"")</f>
        <v/>
      </c>
      <c r="O90" s="22"/>
      <c r="P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3" t="str">
        <f aca="false">IF(COUNT(I91:K91)=3,(I91+4*J91+K91)/6,"")</f>
        <v/>
      </c>
      <c r="M91" s="22"/>
      <c r="N91" s="23" t="str">
        <f aca="false">IF(AND(ISNUMBER(M91),ISNUMBER(L91)),M91-L91,"")</f>
        <v/>
      </c>
      <c r="O91" s="22"/>
      <c r="P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3" t="str">
        <f aca="false">IF(COUNT(I92:K92)=3,(I92+4*J92+K92)/6,"")</f>
        <v/>
      </c>
      <c r="M92" s="22"/>
      <c r="N92" s="23" t="str">
        <f aca="false">IF(AND(ISNUMBER(M92),ISNUMBER(L92)),M92-L92,"")</f>
        <v/>
      </c>
      <c r="O92" s="22"/>
      <c r="P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3" t="str">
        <f aca="false">IF(COUNT(I93:K93)=3,(I93+4*J93+K93)/6,"")</f>
        <v/>
      </c>
      <c r="M93" s="22"/>
      <c r="N93" s="23" t="str">
        <f aca="false">IF(AND(ISNUMBER(M93),ISNUMBER(L93)),M93-L93,"")</f>
        <v/>
      </c>
      <c r="O93" s="22"/>
      <c r="P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3" t="str">
        <f aca="false">IF(COUNT(I94:K94)=3,(I94+4*J94+K94)/6,"")</f>
        <v/>
      </c>
      <c r="M94" s="22"/>
      <c r="N94" s="23" t="str">
        <f aca="false">IF(AND(ISNUMBER(M94),ISNUMBER(L94)),M94-L94,"")</f>
        <v/>
      </c>
      <c r="O94" s="22"/>
      <c r="P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3" t="str">
        <f aca="false">IF(COUNT(I95:K95)=3,(I95+4*J95+K95)/6,"")</f>
        <v/>
      </c>
      <c r="M95" s="22"/>
      <c r="N95" s="23" t="str">
        <f aca="false">IF(AND(ISNUMBER(M95),ISNUMBER(L95)),M95-L95,"")</f>
        <v/>
      </c>
      <c r="O95" s="22"/>
      <c r="P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3" t="str">
        <f aca="false">IF(COUNT(I96:K96)=3,(I96+4*J96+K96)/6,"")</f>
        <v/>
      </c>
      <c r="M96" s="22"/>
      <c r="N96" s="23" t="str">
        <f aca="false">IF(AND(ISNUMBER(M96),ISNUMBER(L96)),M96-L96,"")</f>
        <v/>
      </c>
      <c r="O96" s="22"/>
      <c r="P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3" t="str">
        <f aca="false">IF(COUNT(I97:K97)=3,(I97+4*J97+K97)/6,"")</f>
        <v/>
      </c>
      <c r="M97" s="22"/>
      <c r="N97" s="23" t="str">
        <f aca="false">IF(AND(ISNUMBER(M97),ISNUMBER(L97)),M97-L97,"")</f>
        <v/>
      </c>
      <c r="O97" s="22"/>
      <c r="P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3" t="str">
        <f aca="false">IF(COUNT(I98:K98)=3,(I98+4*J98+K98)/6,"")</f>
        <v/>
      </c>
      <c r="M98" s="22"/>
      <c r="N98" s="23" t="str">
        <f aca="false">IF(AND(ISNUMBER(M98),ISNUMBER(L98)),M98-L98,"")</f>
        <v/>
      </c>
      <c r="O98" s="22"/>
      <c r="P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3" t="str">
        <f aca="false">IF(COUNT(I99:K99)=3,(I99+4*J99+K99)/6,"")</f>
        <v/>
      </c>
      <c r="M99" s="22"/>
      <c r="N99" s="23" t="str">
        <f aca="false">IF(AND(ISNUMBER(M99),ISNUMBER(L99)),M99-L99,"")</f>
        <v/>
      </c>
      <c r="O99" s="22"/>
      <c r="P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3" t="str">
        <f aca="false">IF(COUNT(I100:K100)=3,(I100+4*J100+K100)/6,"")</f>
        <v/>
      </c>
      <c r="M100" s="22"/>
      <c r="N100" s="23" t="str">
        <f aca="false">IF(AND(ISNUMBER(M100),ISNUMBER(L100)),M100-L100,"")</f>
        <v/>
      </c>
      <c r="O100" s="22"/>
      <c r="P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3" t="str">
        <f aca="false">IF(COUNT(I101:K101)=3,(I101+4*J101+K101)/6,"")</f>
        <v/>
      </c>
      <c r="M101" s="22"/>
      <c r="N101" s="23" t="str">
        <f aca="false">IF(AND(ISNUMBER(M101),ISNUMBER(L101)),M101-L101,"")</f>
        <v/>
      </c>
      <c r="O101" s="22"/>
      <c r="P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3" t="str">
        <f aca="false">IF(COUNT(I102:K102)=3,(I102+4*J102+K102)/6,"")</f>
        <v/>
      </c>
      <c r="M102" s="22"/>
      <c r="N102" s="23" t="str">
        <f aca="false">IF(AND(ISNUMBER(M102),ISNUMBER(L102)),M102-L102,"")</f>
        <v/>
      </c>
      <c r="O102" s="22"/>
      <c r="P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3" t="str">
        <f aca="false">IF(COUNT(I103:K103)=3,(I103+4*J103+K103)/6,"")</f>
        <v/>
      </c>
      <c r="M103" s="22"/>
      <c r="N103" s="23" t="str">
        <f aca="false">IF(AND(ISNUMBER(M103),ISNUMBER(L103)),M103-L103,"")</f>
        <v/>
      </c>
      <c r="O103" s="22"/>
      <c r="P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3" t="str">
        <f aca="false">IF(COUNT(I104:K104)=3,(I104+4*J104+K104)/6,"")</f>
        <v/>
      </c>
      <c r="M104" s="22"/>
      <c r="N104" s="23" t="str">
        <f aca="false">IF(AND(ISNUMBER(M104),ISNUMBER(L104)),M104-L104,"")</f>
        <v/>
      </c>
      <c r="O104" s="22"/>
      <c r="P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3" t="str">
        <f aca="false">IF(COUNT(I105:K105)=3,(I105+4*J105+K105)/6,"")</f>
        <v/>
      </c>
      <c r="M105" s="22"/>
      <c r="N105" s="23" t="str">
        <f aca="false">IF(AND(ISNUMBER(M105),ISNUMBER(L105)),M105-L105,"")</f>
        <v/>
      </c>
      <c r="O105" s="22"/>
      <c r="P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3" t="str">
        <f aca="false">IF(COUNT(I106:K106)=3,(I106+4*J106+K106)/6,"")</f>
        <v/>
      </c>
      <c r="M106" s="22"/>
      <c r="N106" s="23" t="str">
        <f aca="false">IF(AND(ISNUMBER(M106),ISNUMBER(L106)),M106-L106,"")</f>
        <v/>
      </c>
      <c r="O106" s="22"/>
      <c r="P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3" t="str">
        <f aca="false">IF(COUNT(I107:K107)=3,(I107+4*J107+K107)/6,"")</f>
        <v/>
      </c>
      <c r="M107" s="22"/>
      <c r="N107" s="23" t="str">
        <f aca="false">IF(AND(ISNUMBER(M107),ISNUMBER(L107)),M107-L107,"")</f>
        <v/>
      </c>
      <c r="O107" s="22"/>
      <c r="P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3" t="str">
        <f aca="false">IF(COUNT(I108:K108)=3,(I108+4*J108+K108)/6,"")</f>
        <v/>
      </c>
      <c r="M108" s="22"/>
      <c r="N108" s="23" t="str">
        <f aca="false">IF(AND(ISNUMBER(M108),ISNUMBER(L108)),M108-L108,"")</f>
        <v/>
      </c>
      <c r="O108" s="22"/>
      <c r="P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3" t="str">
        <f aca="false">IF(COUNT(I109:K109)=3,(I109+4*J109+K109)/6,"")</f>
        <v/>
      </c>
      <c r="M109" s="22"/>
      <c r="N109" s="23" t="str">
        <f aca="false">IF(AND(ISNUMBER(M109),ISNUMBER(L109)),M109-L109,"")</f>
        <v/>
      </c>
      <c r="O109" s="22"/>
      <c r="P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3" t="str">
        <f aca="false">IF(COUNT(I110:K110)=3,(I110+4*J110+K110)/6,"")</f>
        <v/>
      </c>
      <c r="M110" s="22"/>
      <c r="N110" s="23" t="str">
        <f aca="false">IF(AND(ISNUMBER(M110),ISNUMBER(L110)),M110-L110,"")</f>
        <v/>
      </c>
      <c r="O110" s="22"/>
      <c r="P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3" t="str">
        <f aca="false">IF(COUNT(I111:K111)=3,(I111+4*J111+K111)/6,"")</f>
        <v/>
      </c>
      <c r="M111" s="22"/>
      <c r="N111" s="23" t="str">
        <f aca="false">IF(AND(ISNUMBER(M111),ISNUMBER(L111)),M111-L111,"")</f>
        <v/>
      </c>
      <c r="O111" s="22"/>
      <c r="P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3" t="str">
        <f aca="false">IF(COUNT(I112:K112)=3,(I112+4*J112+K112)/6,"")</f>
        <v/>
      </c>
      <c r="M112" s="22"/>
      <c r="N112" s="23" t="str">
        <f aca="false">IF(AND(ISNUMBER(M112),ISNUMBER(L112)),M112-L112,"")</f>
        <v/>
      </c>
      <c r="O112" s="22"/>
      <c r="P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3" t="str">
        <f aca="false">IF(COUNT(I113:K113)=3,(I113+4*J113+K113)/6,"")</f>
        <v/>
      </c>
      <c r="M113" s="22"/>
      <c r="N113" s="23" t="str">
        <f aca="false">IF(AND(ISNUMBER(M113),ISNUMBER(L113)),M113-L113,"")</f>
        <v/>
      </c>
      <c r="O113" s="22"/>
      <c r="P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3" t="str">
        <f aca="false">IF(COUNT(I114:K114)=3,(I114+4*J114+K114)/6,"")</f>
        <v/>
      </c>
      <c r="M114" s="22"/>
      <c r="N114" s="23" t="str">
        <f aca="false">IF(AND(ISNUMBER(M114),ISNUMBER(L114)),M114-L114,"")</f>
        <v/>
      </c>
      <c r="O114" s="22"/>
      <c r="P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3" t="str">
        <f aca="false">IF(COUNT(I115:K115)=3,(I115+4*J115+K115)/6,"")</f>
        <v/>
      </c>
      <c r="M115" s="22"/>
      <c r="N115" s="23" t="str">
        <f aca="false">IF(AND(ISNUMBER(M115),ISNUMBER(L115)),M115-L115,"")</f>
        <v/>
      </c>
      <c r="O115" s="22"/>
      <c r="P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3" t="str">
        <f aca="false">IF(COUNT(I116:K116)=3,(I116+4*J116+K116)/6,"")</f>
        <v/>
      </c>
      <c r="M116" s="22"/>
      <c r="N116" s="23" t="str">
        <f aca="false">IF(AND(ISNUMBER(M116),ISNUMBER(L116)),M116-L116,"")</f>
        <v/>
      </c>
      <c r="O116" s="22"/>
      <c r="P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3" t="str">
        <f aca="false">IF(COUNT(I117:K117)=3,(I117+4*J117+K117)/6,"")</f>
        <v/>
      </c>
      <c r="M117" s="22"/>
      <c r="N117" s="23" t="str">
        <f aca="false">IF(AND(ISNUMBER(M117),ISNUMBER(L117)),M117-L117,"")</f>
        <v/>
      </c>
      <c r="O117" s="22"/>
      <c r="P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3" t="str">
        <f aca="false">IF(COUNT(I118:K118)=3,(I118+4*J118+K118)/6,"")</f>
        <v/>
      </c>
      <c r="M118" s="22"/>
      <c r="N118" s="23" t="str">
        <f aca="false">IF(AND(ISNUMBER(M118),ISNUMBER(L118)),M118-L118,"")</f>
        <v/>
      </c>
      <c r="O118" s="22"/>
      <c r="P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3" t="str">
        <f aca="false">IF(COUNT(I119:K119)=3,(I119+4*J119+K119)/6,"")</f>
        <v/>
      </c>
      <c r="M119" s="22"/>
      <c r="N119" s="23" t="str">
        <f aca="false">IF(AND(ISNUMBER(M119),ISNUMBER(L119)),M119-L119,"")</f>
        <v/>
      </c>
      <c r="O119" s="22"/>
      <c r="P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3" t="str">
        <f aca="false">IF(COUNT(I120:K120)=3,(I120+4*J120+K120)/6,"")</f>
        <v/>
      </c>
      <c r="M120" s="22"/>
      <c r="N120" s="23" t="str">
        <f aca="false">IF(AND(ISNUMBER(M120),ISNUMBER(L120)),M120-L120,"")</f>
        <v/>
      </c>
      <c r="O120" s="22"/>
      <c r="P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3" t="str">
        <f aca="false">IF(COUNT(I121:K121)=3,(I121+4*J121+K121)/6,"")</f>
        <v/>
      </c>
      <c r="M121" s="22"/>
      <c r="N121" s="23" t="str">
        <f aca="false">IF(AND(ISNUMBER(M121),ISNUMBER(L121)),M121-L121,"")</f>
        <v/>
      </c>
      <c r="O121" s="22"/>
      <c r="P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3" t="str">
        <f aca="false">IF(COUNT(I122:K122)=3,(I122+4*J122+K122)/6,"")</f>
        <v/>
      </c>
      <c r="M122" s="22"/>
      <c r="N122" s="23" t="str">
        <f aca="false">IF(AND(ISNUMBER(M122),ISNUMBER(L122)),M122-L122,"")</f>
        <v/>
      </c>
      <c r="O122" s="22"/>
      <c r="P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3" t="str">
        <f aca="false">IF(COUNT(I123:K123)=3,(I123+4*J123+K123)/6,"")</f>
        <v/>
      </c>
      <c r="M123" s="22"/>
      <c r="N123" s="23" t="str">
        <f aca="false">IF(AND(ISNUMBER(M123),ISNUMBER(L123)),M123-L123,"")</f>
        <v/>
      </c>
      <c r="O123" s="22"/>
      <c r="P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3" t="str">
        <f aca="false">IF(COUNT(I124:K124)=3,(I124+4*J124+K124)/6,"")</f>
        <v/>
      </c>
      <c r="M124" s="22"/>
      <c r="N124" s="23" t="str">
        <f aca="false">IF(AND(ISNUMBER(M124),ISNUMBER(L124)),M124-L124,"")</f>
        <v/>
      </c>
      <c r="O124" s="22"/>
      <c r="P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3" t="str">
        <f aca="false">IF(COUNT(I125:K125)=3,(I125+4*J125+K125)/6,"")</f>
        <v/>
      </c>
      <c r="M125" s="22"/>
      <c r="N125" s="23" t="str">
        <f aca="false">IF(AND(ISNUMBER(M125),ISNUMBER(L125)),M125-L125,"")</f>
        <v/>
      </c>
      <c r="O125" s="22"/>
      <c r="P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3" t="str">
        <f aca="false">IF(COUNT(I126:K126)=3,(I126+4*J126+K126)/6,"")</f>
        <v/>
      </c>
      <c r="M126" s="22"/>
      <c r="N126" s="23" t="str">
        <f aca="false">IF(AND(ISNUMBER(M126),ISNUMBER(L126)),M126-L126,"")</f>
        <v/>
      </c>
      <c r="O126" s="22"/>
      <c r="P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3" t="str">
        <f aca="false">IF(COUNT(I127:K127)=3,(I127+4*J127+K127)/6,"")</f>
        <v/>
      </c>
      <c r="M127" s="22"/>
      <c r="N127" s="23" t="str">
        <f aca="false">IF(AND(ISNUMBER(M127),ISNUMBER(L127)),M127-L127,"")</f>
        <v/>
      </c>
      <c r="O127" s="22"/>
      <c r="P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3" t="str">
        <f aca="false">IF(COUNT(I128:K128)=3,(I128+4*J128+K128)/6,"")</f>
        <v/>
      </c>
      <c r="M128" s="22"/>
      <c r="N128" s="23" t="str">
        <f aca="false">IF(AND(ISNUMBER(M128),ISNUMBER(L128)),M128-L128,"")</f>
        <v/>
      </c>
      <c r="O128" s="22"/>
      <c r="P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3" t="str">
        <f aca="false">IF(COUNT(I129:K129)=3,(I129+4*J129+K129)/6,"")</f>
        <v/>
      </c>
      <c r="M129" s="22"/>
      <c r="N129" s="23" t="str">
        <f aca="false">IF(AND(ISNUMBER(M129),ISNUMBER(L129)),M129-L129,"")</f>
        <v/>
      </c>
      <c r="O129" s="22"/>
      <c r="P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3" t="str">
        <f aca="false">IF(COUNT(I130:K130)=3,(I130+4*J130+K130)/6,"")</f>
        <v/>
      </c>
      <c r="M130" s="22"/>
      <c r="N130" s="23" t="str">
        <f aca="false">IF(AND(ISNUMBER(M130),ISNUMBER(L130)),M130-L130,"")</f>
        <v/>
      </c>
      <c r="O130" s="22"/>
      <c r="P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3" t="str">
        <f aca="false">IF(COUNT(I131:K131)=3,(I131+4*J131+K131)/6,"")</f>
        <v/>
      </c>
      <c r="M131" s="22"/>
      <c r="N131" s="23" t="str">
        <f aca="false">IF(AND(ISNUMBER(M131),ISNUMBER(L131)),M131-L131,"")</f>
        <v/>
      </c>
      <c r="O131" s="22"/>
      <c r="P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3" t="str">
        <f aca="false">IF(COUNT(I132:K132)=3,(I132+4*J132+K132)/6,"")</f>
        <v/>
      </c>
      <c r="M132" s="22"/>
      <c r="N132" s="23" t="str">
        <f aca="false">IF(AND(ISNUMBER(M132),ISNUMBER(L132)),M132-L132,"")</f>
        <v/>
      </c>
      <c r="O132" s="22"/>
      <c r="P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3" t="str">
        <f aca="false">IF(COUNT(I133:K133)=3,(I133+4*J133+K133)/6,"")</f>
        <v/>
      </c>
      <c r="M133" s="22"/>
      <c r="N133" s="23" t="str">
        <f aca="false">IF(AND(ISNUMBER(M133),ISNUMBER(L133)),M133-L133,"")</f>
        <v/>
      </c>
      <c r="O133" s="22"/>
      <c r="P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3" t="str">
        <f aca="false">IF(COUNT(I134:K134)=3,(I134+4*J134+K134)/6,"")</f>
        <v/>
      </c>
      <c r="M134" s="22"/>
      <c r="N134" s="23" t="str">
        <f aca="false">IF(AND(ISNUMBER(M134),ISNUMBER(L134)),M134-L134,"")</f>
        <v/>
      </c>
      <c r="O134" s="22"/>
      <c r="P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3" t="str">
        <f aca="false">IF(COUNT(I135:K135)=3,(I135+4*J135+K135)/6,"")</f>
        <v/>
      </c>
      <c r="M135" s="22"/>
      <c r="N135" s="23" t="str">
        <f aca="false">IF(AND(ISNUMBER(M135),ISNUMBER(L135)),M135-L135,"")</f>
        <v/>
      </c>
      <c r="O135" s="22"/>
      <c r="P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3" t="str">
        <f aca="false">IF(COUNT(I136:K136)=3,(I136+4*J136+K136)/6,"")</f>
        <v/>
      </c>
      <c r="M136" s="22"/>
      <c r="N136" s="23" t="str">
        <f aca="false">IF(AND(ISNUMBER(M136),ISNUMBER(L136)),M136-L136,"")</f>
        <v/>
      </c>
      <c r="O136" s="22"/>
      <c r="P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3" t="str">
        <f aca="false">IF(COUNT(I137:K137)=3,(I137+4*J137+K137)/6,"")</f>
        <v/>
      </c>
      <c r="M137" s="22"/>
      <c r="N137" s="23" t="str">
        <f aca="false">IF(AND(ISNUMBER(M137),ISNUMBER(L137)),M137-L137,"")</f>
        <v/>
      </c>
      <c r="O137" s="22"/>
      <c r="P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3" t="str">
        <f aca="false">IF(COUNT(I138:K138)=3,(I138+4*J138+K138)/6,"")</f>
        <v/>
      </c>
      <c r="M138" s="22"/>
      <c r="N138" s="23" t="str">
        <f aca="false">IF(AND(ISNUMBER(M138),ISNUMBER(L138)),M138-L138,"")</f>
        <v/>
      </c>
      <c r="O138" s="22"/>
      <c r="P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3" t="str">
        <f aca="false">IF(COUNT(I139:K139)=3,(I139+4*J139+K139)/6,"")</f>
        <v/>
      </c>
      <c r="M139" s="22"/>
      <c r="N139" s="23" t="str">
        <f aca="false">IF(AND(ISNUMBER(M139),ISNUMBER(L139)),M139-L139,"")</f>
        <v/>
      </c>
      <c r="O139" s="22"/>
      <c r="P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3" t="str">
        <f aca="false">IF(COUNT(I140:K140)=3,(I140+4*J140+K140)/6,"")</f>
        <v/>
      </c>
      <c r="M140" s="22"/>
      <c r="N140" s="23" t="str">
        <f aca="false">IF(AND(ISNUMBER(M140),ISNUMBER(L140)),M140-L140,"")</f>
        <v/>
      </c>
      <c r="O140" s="22"/>
      <c r="P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3" t="str">
        <f aca="false">IF(COUNT(I141:K141)=3,(I141+4*J141+K141)/6,"")</f>
        <v/>
      </c>
      <c r="M141" s="22"/>
      <c r="N141" s="23" t="str">
        <f aca="false">IF(AND(ISNUMBER(M141),ISNUMBER(L141)),M141-L141,"")</f>
        <v/>
      </c>
      <c r="O141" s="22"/>
      <c r="P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3" t="str">
        <f aca="false">IF(COUNT(I142:K142)=3,(I142+4*J142+K142)/6,"")</f>
        <v/>
      </c>
      <c r="M142" s="22"/>
      <c r="N142" s="23" t="str">
        <f aca="false">IF(AND(ISNUMBER(M142),ISNUMBER(L142)),M142-L142,"")</f>
        <v/>
      </c>
      <c r="O142" s="22"/>
      <c r="P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3" t="str">
        <f aca="false">IF(COUNT(I143:K143)=3,(I143+4*J143+K143)/6,"")</f>
        <v/>
      </c>
      <c r="M143" s="22"/>
      <c r="N143" s="23" t="str">
        <f aca="false">IF(AND(ISNUMBER(M143),ISNUMBER(L143)),M143-L143,"")</f>
        <v/>
      </c>
      <c r="O143" s="22"/>
      <c r="P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3" t="str">
        <f aca="false">IF(COUNT(I144:K144)=3,(I144+4*J144+K144)/6,"")</f>
        <v/>
      </c>
      <c r="M144" s="22"/>
      <c r="N144" s="23" t="str">
        <f aca="false">IF(AND(ISNUMBER(M144),ISNUMBER(L144)),M144-L144,"")</f>
        <v/>
      </c>
      <c r="O144" s="22"/>
      <c r="P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3" t="str">
        <f aca="false">IF(COUNT(I145:K145)=3,(I145+4*J145+K145)/6,"")</f>
        <v/>
      </c>
      <c r="M145" s="22"/>
      <c r="N145" s="23" t="str">
        <f aca="false">IF(AND(ISNUMBER(M145),ISNUMBER(L145)),M145-L145,"")</f>
        <v/>
      </c>
      <c r="O145" s="22"/>
      <c r="P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3" t="str">
        <f aca="false">IF(COUNT(I146:K146)=3,(I146+4*J146+K146)/6,"")</f>
        <v/>
      </c>
      <c r="M146" s="22"/>
      <c r="N146" s="23" t="str">
        <f aca="false">IF(AND(ISNUMBER(M146),ISNUMBER(L146)),M146-L146,"")</f>
        <v/>
      </c>
      <c r="O146" s="22"/>
      <c r="P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3" t="str">
        <f aca="false">IF(COUNT(I147:K147)=3,(I147+4*J147+K147)/6,"")</f>
        <v/>
      </c>
      <c r="M147" s="22"/>
      <c r="N147" s="23" t="str">
        <f aca="false">IF(AND(ISNUMBER(M147),ISNUMBER(L147)),M147-L147,"")</f>
        <v/>
      </c>
      <c r="O147" s="22"/>
      <c r="P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3" t="str">
        <f aca="false">IF(COUNT(I148:K148)=3,(I148+4*J148+K148)/6,"")</f>
        <v/>
      </c>
      <c r="M148" s="22"/>
      <c r="N148" s="23" t="str">
        <f aca="false">IF(AND(ISNUMBER(M148),ISNUMBER(L148)),M148-L148,"")</f>
        <v/>
      </c>
      <c r="O148" s="22"/>
      <c r="P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3" t="str">
        <f aca="false">IF(COUNT(I149:K149)=3,(I149+4*J149+K149)/6,"")</f>
        <v/>
      </c>
      <c r="M149" s="22"/>
      <c r="N149" s="23" t="str">
        <f aca="false">IF(AND(ISNUMBER(M149),ISNUMBER(L149)),M149-L149,"")</f>
        <v/>
      </c>
      <c r="O149" s="22"/>
      <c r="P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3" t="str">
        <f aca="false">IF(COUNT(I150:K150)=3,(I150+4*J150+K150)/6,"")</f>
        <v/>
      </c>
      <c r="M150" s="22"/>
      <c r="N150" s="23" t="str">
        <f aca="false">IF(AND(ISNUMBER(M150),ISNUMBER(L150)),M150-L150,"")</f>
        <v/>
      </c>
      <c r="O150" s="22"/>
      <c r="P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3" t="str">
        <f aca="false">IF(COUNT(I151:K151)=3,(I151+4*J151+K151)/6,"")</f>
        <v/>
      </c>
      <c r="M151" s="22"/>
      <c r="N151" s="23" t="str">
        <f aca="false">IF(AND(ISNUMBER(M151),ISNUMBER(L151)),M151-L151,"")</f>
        <v/>
      </c>
      <c r="O151" s="22"/>
      <c r="P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3" t="str">
        <f aca="false">IF(COUNT(I152:K152)=3,(I152+4*J152+K152)/6,"")</f>
        <v/>
      </c>
      <c r="M152" s="22"/>
      <c r="N152" s="23" t="str">
        <f aca="false">IF(AND(ISNUMBER(M152),ISNUMBER(L152)),M152-L152,"")</f>
        <v/>
      </c>
      <c r="O152" s="22"/>
      <c r="P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3" t="str">
        <f aca="false">IF(COUNT(I153:K153)=3,(I153+4*J153+K153)/6,"")</f>
        <v/>
      </c>
      <c r="M153" s="22"/>
      <c r="N153" s="23" t="str">
        <f aca="false">IF(AND(ISNUMBER(M153),ISNUMBER(L153)),M153-L153,"")</f>
        <v/>
      </c>
      <c r="O153" s="22"/>
      <c r="P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3" t="str">
        <f aca="false">IF(COUNT(I154:K154)=3,(I154+4*J154+K154)/6,"")</f>
        <v/>
      </c>
      <c r="M154" s="22"/>
      <c r="N154" s="23" t="str">
        <f aca="false">IF(AND(ISNUMBER(M154),ISNUMBER(L154)),M154-L154,"")</f>
        <v/>
      </c>
      <c r="O154" s="22"/>
      <c r="P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3" t="str">
        <f aca="false">IF(COUNT(I155:K155)=3,(I155+4*J155+K155)/6,"")</f>
        <v/>
      </c>
      <c r="M155" s="22"/>
      <c r="N155" s="23" t="str">
        <f aca="false">IF(AND(ISNUMBER(M155),ISNUMBER(L155)),M155-L155,"")</f>
        <v/>
      </c>
      <c r="O155" s="22"/>
      <c r="P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3" t="str">
        <f aca="false">IF(COUNT(I156:K156)=3,(I156+4*J156+K156)/6,"")</f>
        <v/>
      </c>
      <c r="M156" s="22"/>
      <c r="N156" s="23" t="str">
        <f aca="false">IF(AND(ISNUMBER(M156),ISNUMBER(L156)),M156-L156,"")</f>
        <v/>
      </c>
      <c r="O156" s="22"/>
      <c r="P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3" t="str">
        <f aca="false">IF(COUNT(I157:K157)=3,(I157+4*J157+K157)/6,"")</f>
        <v/>
      </c>
      <c r="M157" s="22"/>
      <c r="N157" s="23" t="str">
        <f aca="false">IF(AND(ISNUMBER(M157),ISNUMBER(L157)),M157-L157,"")</f>
        <v/>
      </c>
      <c r="O157" s="22"/>
      <c r="P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3" t="str">
        <f aca="false">IF(COUNT(I158:K158)=3,(I158+4*J158+K158)/6,"")</f>
        <v/>
      </c>
      <c r="M158" s="22"/>
      <c r="N158" s="23" t="str">
        <f aca="false">IF(AND(ISNUMBER(M158),ISNUMBER(L158)),M158-L158,"")</f>
        <v/>
      </c>
      <c r="O158" s="22"/>
      <c r="P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3" t="str">
        <f aca="false">IF(COUNT(I159:K159)=3,(I159+4*J159+K159)/6,"")</f>
        <v/>
      </c>
      <c r="M159" s="22"/>
      <c r="N159" s="23" t="str">
        <f aca="false">IF(AND(ISNUMBER(M159),ISNUMBER(L159)),M159-L159,"")</f>
        <v/>
      </c>
      <c r="O159" s="22"/>
      <c r="P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3" t="str">
        <f aca="false">IF(COUNT(I160:K160)=3,(I160+4*J160+K160)/6,"")</f>
        <v/>
      </c>
      <c r="M160" s="22"/>
      <c r="N160" s="23" t="str">
        <f aca="false">IF(AND(ISNUMBER(M160),ISNUMBER(L160)),M160-L160,"")</f>
        <v/>
      </c>
      <c r="O160" s="22"/>
      <c r="P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3" t="str">
        <f aca="false">IF(COUNT(I161:K161)=3,(I161+4*J161+K161)/6,"")</f>
        <v/>
      </c>
      <c r="M161" s="22"/>
      <c r="N161" s="23" t="str">
        <f aca="false">IF(AND(ISNUMBER(M161),ISNUMBER(L161)),M161-L161,"")</f>
        <v/>
      </c>
      <c r="O161" s="22"/>
      <c r="P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3" t="str">
        <f aca="false">IF(COUNT(I162:K162)=3,(I162+4*J162+K162)/6,"")</f>
        <v/>
      </c>
      <c r="M162" s="22"/>
      <c r="N162" s="23" t="str">
        <f aca="false">IF(AND(ISNUMBER(M162),ISNUMBER(L162)),M162-L162,"")</f>
        <v/>
      </c>
      <c r="O162" s="22"/>
      <c r="P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3" t="str">
        <f aca="false">IF(COUNT(I163:K163)=3,(I163+4*J163+K163)/6,"")</f>
        <v/>
      </c>
      <c r="M163" s="22"/>
      <c r="N163" s="23" t="str">
        <f aca="false">IF(AND(ISNUMBER(M163),ISNUMBER(L163)),M163-L163,"")</f>
        <v/>
      </c>
      <c r="O163" s="22"/>
      <c r="P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3" t="str">
        <f aca="false">IF(COUNT(I164:K164)=3,(I164+4*J164+K164)/6,"")</f>
        <v/>
      </c>
      <c r="M164" s="22"/>
      <c r="N164" s="23" t="str">
        <f aca="false">IF(AND(ISNUMBER(M164),ISNUMBER(L164)),M164-L164,"")</f>
        <v/>
      </c>
      <c r="O164" s="22"/>
      <c r="P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3" t="str">
        <f aca="false">IF(COUNT(I165:K165)=3,(I165+4*J165+K165)/6,"")</f>
        <v/>
      </c>
      <c r="M165" s="22"/>
      <c r="N165" s="23" t="str">
        <f aca="false">IF(AND(ISNUMBER(M165),ISNUMBER(L165)),M165-L165,"")</f>
        <v/>
      </c>
      <c r="O165" s="22"/>
      <c r="P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3" t="str">
        <f aca="false">IF(COUNT(I166:K166)=3,(I166+4*J166+K166)/6,"")</f>
        <v/>
      </c>
      <c r="M166" s="22"/>
      <c r="N166" s="23" t="str">
        <f aca="false">IF(AND(ISNUMBER(M166),ISNUMBER(L166)),M166-L166,"")</f>
        <v/>
      </c>
      <c r="O166" s="22"/>
      <c r="P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3" t="str">
        <f aca="false">IF(COUNT(I167:K167)=3,(I167+4*J167+K167)/6,"")</f>
        <v/>
      </c>
      <c r="M167" s="22"/>
      <c r="N167" s="23" t="str">
        <f aca="false">IF(AND(ISNUMBER(M167),ISNUMBER(L167)),M167-L167,"")</f>
        <v/>
      </c>
      <c r="O167" s="22"/>
      <c r="P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3" t="str">
        <f aca="false">IF(COUNT(I168:K168)=3,(I168+4*J168+K168)/6,"")</f>
        <v/>
      </c>
      <c r="M168" s="22"/>
      <c r="N168" s="23" t="str">
        <f aca="false">IF(AND(ISNUMBER(M168),ISNUMBER(L168)),M168-L168,"")</f>
        <v/>
      </c>
      <c r="O168" s="22"/>
      <c r="P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3" t="str">
        <f aca="false">IF(COUNT(I169:K169)=3,(I169+4*J169+K169)/6,"")</f>
        <v/>
      </c>
      <c r="M169" s="22"/>
      <c r="N169" s="23" t="str">
        <f aca="false">IF(AND(ISNUMBER(M169),ISNUMBER(L169)),M169-L169,"")</f>
        <v/>
      </c>
      <c r="O169" s="22"/>
      <c r="P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3" t="str">
        <f aca="false">IF(COUNT(I170:K170)=3,(I170+4*J170+K170)/6,"")</f>
        <v/>
      </c>
      <c r="M170" s="22"/>
      <c r="N170" s="23" t="str">
        <f aca="false">IF(AND(ISNUMBER(M170),ISNUMBER(L170)),M170-L170,"")</f>
        <v/>
      </c>
      <c r="O170" s="22"/>
      <c r="P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3" t="str">
        <f aca="false">IF(COUNT(I171:K171)=3,(I171+4*J171+K171)/6,"")</f>
        <v/>
      </c>
      <c r="M171" s="22"/>
      <c r="N171" s="23" t="str">
        <f aca="false">IF(AND(ISNUMBER(M171),ISNUMBER(L171)),M171-L171,"")</f>
        <v/>
      </c>
      <c r="O171" s="22"/>
      <c r="P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3" t="str">
        <f aca="false">IF(COUNT(I172:K172)=3,(I172+4*J172+K172)/6,"")</f>
        <v/>
      </c>
      <c r="M172" s="22"/>
      <c r="N172" s="23" t="str">
        <f aca="false">IF(AND(ISNUMBER(M172),ISNUMBER(L172)),M172-L172,"")</f>
        <v/>
      </c>
      <c r="O172" s="22"/>
      <c r="P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3" t="str">
        <f aca="false">IF(COUNT(I173:K173)=3,(I173+4*J173+K173)/6,"")</f>
        <v/>
      </c>
      <c r="M173" s="22"/>
      <c r="N173" s="23" t="str">
        <f aca="false">IF(AND(ISNUMBER(M173),ISNUMBER(L173)),M173-L173,"")</f>
        <v/>
      </c>
      <c r="O173" s="22"/>
      <c r="P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3" t="str">
        <f aca="false">IF(COUNT(I174:K174)=3,(I174+4*J174+K174)/6,"")</f>
        <v/>
      </c>
      <c r="M174" s="22"/>
      <c r="N174" s="23" t="str">
        <f aca="false">IF(AND(ISNUMBER(M174),ISNUMBER(L174)),M174-L174,"")</f>
        <v/>
      </c>
      <c r="O174" s="22"/>
      <c r="P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3" t="str">
        <f aca="false">IF(COUNT(I175:K175)=3,(I175+4*J175+K175)/6,"")</f>
        <v/>
      </c>
      <c r="M175" s="22"/>
      <c r="N175" s="23" t="str">
        <f aca="false">IF(AND(ISNUMBER(M175),ISNUMBER(L175)),M175-L175,"")</f>
        <v/>
      </c>
      <c r="O175" s="22"/>
      <c r="P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3" t="str">
        <f aca="false">IF(COUNT(I176:K176)=3,(I176+4*J176+K176)/6,"")</f>
        <v/>
      </c>
      <c r="M176" s="22"/>
      <c r="N176" s="23" t="str">
        <f aca="false">IF(AND(ISNUMBER(M176),ISNUMBER(L176)),M176-L176,"")</f>
        <v/>
      </c>
      <c r="O176" s="22"/>
      <c r="P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3" t="str">
        <f aca="false">IF(COUNT(I177:K177)=3,(I177+4*J177+K177)/6,"")</f>
        <v/>
      </c>
      <c r="M177" s="22"/>
      <c r="N177" s="23" t="str">
        <f aca="false">IF(AND(ISNUMBER(M177),ISNUMBER(L177)),M177-L177,"")</f>
        <v/>
      </c>
      <c r="O177" s="22"/>
      <c r="P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3" t="str">
        <f aca="false">IF(COUNT(I178:K178)=3,(I178+4*J178+K178)/6,"")</f>
        <v/>
      </c>
      <c r="M178" s="22"/>
      <c r="N178" s="23" t="str">
        <f aca="false">IF(AND(ISNUMBER(M178),ISNUMBER(L178)),M178-L178,"")</f>
        <v/>
      </c>
      <c r="O178" s="22"/>
      <c r="P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3" t="str">
        <f aca="false">IF(COUNT(I179:K179)=3,(I179+4*J179+K179)/6,"")</f>
        <v/>
      </c>
      <c r="M179" s="22"/>
      <c r="N179" s="23" t="str">
        <f aca="false">IF(AND(ISNUMBER(M179),ISNUMBER(L179)),M179-L179,"")</f>
        <v/>
      </c>
      <c r="O179" s="22"/>
      <c r="P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3" t="str">
        <f aca="false">IF(COUNT(I180:K180)=3,(I180+4*J180+K180)/6,"")</f>
        <v/>
      </c>
      <c r="M180" s="22"/>
      <c r="N180" s="23" t="str">
        <f aca="false">IF(AND(ISNUMBER(M180),ISNUMBER(L180)),M180-L180,"")</f>
        <v/>
      </c>
      <c r="O180" s="22"/>
      <c r="P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3" t="str">
        <f aca="false">IF(COUNT(I181:K181)=3,(I181+4*J181+K181)/6,"")</f>
        <v/>
      </c>
      <c r="M181" s="22"/>
      <c r="N181" s="23" t="str">
        <f aca="false">IF(AND(ISNUMBER(M181),ISNUMBER(L181)),M181-L181,"")</f>
        <v/>
      </c>
      <c r="O181" s="22"/>
      <c r="P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3" t="str">
        <f aca="false">IF(COUNT(I182:K182)=3,(I182+4*J182+K182)/6,"")</f>
        <v/>
      </c>
      <c r="M182" s="22"/>
      <c r="N182" s="23" t="str">
        <f aca="false">IF(AND(ISNUMBER(M182),ISNUMBER(L182)),M182-L182,"")</f>
        <v/>
      </c>
      <c r="O182" s="22"/>
      <c r="P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3" t="str">
        <f aca="false">IF(COUNT(I183:K183)=3,(I183+4*J183+K183)/6,"")</f>
        <v/>
      </c>
      <c r="M183" s="22"/>
      <c r="N183" s="23" t="str">
        <f aca="false">IF(AND(ISNUMBER(M183),ISNUMBER(L183)),M183-L183,"")</f>
        <v/>
      </c>
      <c r="O183" s="22"/>
      <c r="P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3" t="str">
        <f aca="false">IF(COUNT(I184:K184)=3,(I184+4*J184+K184)/6,"")</f>
        <v/>
      </c>
      <c r="M184" s="22"/>
      <c r="N184" s="23" t="str">
        <f aca="false">IF(AND(ISNUMBER(M184),ISNUMBER(L184)),M184-L184,"")</f>
        <v/>
      </c>
      <c r="O184" s="22"/>
      <c r="P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3" t="str">
        <f aca="false">IF(COUNT(I185:K185)=3,(I185+4*J185+K185)/6,"")</f>
        <v/>
      </c>
      <c r="M185" s="22"/>
      <c r="N185" s="23" t="str">
        <f aca="false">IF(AND(ISNUMBER(M185),ISNUMBER(L185)),M185-L185,"")</f>
        <v/>
      </c>
      <c r="O185" s="22"/>
      <c r="P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3" t="str">
        <f aca="false">IF(COUNT(I186:K186)=3,(I186+4*J186+K186)/6,"")</f>
        <v/>
      </c>
      <c r="M186" s="22"/>
      <c r="N186" s="23" t="str">
        <f aca="false">IF(AND(ISNUMBER(M186),ISNUMBER(L186)),M186-L186,"")</f>
        <v/>
      </c>
      <c r="O186" s="22"/>
      <c r="P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3" t="str">
        <f aca="false">IF(COUNT(I187:K187)=3,(I187+4*J187+K187)/6,"")</f>
        <v/>
      </c>
      <c r="M187" s="22"/>
      <c r="N187" s="23" t="str">
        <f aca="false">IF(AND(ISNUMBER(M187),ISNUMBER(L187)),M187-L187,"")</f>
        <v/>
      </c>
      <c r="O187" s="22"/>
      <c r="P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3" t="str">
        <f aca="false">IF(COUNT(I188:K188)=3,(I188+4*J188+K188)/6,"")</f>
        <v/>
      </c>
      <c r="M188" s="22"/>
      <c r="N188" s="23" t="str">
        <f aca="false">IF(AND(ISNUMBER(M188),ISNUMBER(L188)),M188-L188,"")</f>
        <v/>
      </c>
      <c r="O188" s="22"/>
      <c r="P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3" t="str">
        <f aca="false">IF(COUNT(I189:K189)=3,(I189+4*J189+K189)/6,"")</f>
        <v/>
      </c>
      <c r="M189" s="22"/>
      <c r="N189" s="23" t="str">
        <f aca="false">IF(AND(ISNUMBER(M189),ISNUMBER(L189)),M189-L189,"")</f>
        <v/>
      </c>
      <c r="O189" s="22"/>
      <c r="P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3" t="str">
        <f aca="false">IF(COUNT(I190:K190)=3,(I190+4*J190+K190)/6,"")</f>
        <v/>
      </c>
      <c r="M190" s="22"/>
      <c r="N190" s="23" t="str">
        <f aca="false">IF(AND(ISNUMBER(M190),ISNUMBER(L190)),M190-L190,"")</f>
        <v/>
      </c>
      <c r="O190" s="22"/>
      <c r="P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3" t="str">
        <f aca="false">IF(COUNT(I191:K191)=3,(I191+4*J191+K191)/6,"")</f>
        <v/>
      </c>
      <c r="M191" s="22"/>
      <c r="N191" s="23" t="str">
        <f aca="false">IF(AND(ISNUMBER(M191),ISNUMBER(L191)),M191-L191,"")</f>
        <v/>
      </c>
      <c r="O191" s="22"/>
      <c r="P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3" t="str">
        <f aca="false">IF(COUNT(I192:K192)=3,(I192+4*J192+K192)/6,"")</f>
        <v/>
      </c>
      <c r="M192" s="22"/>
      <c r="N192" s="23" t="str">
        <f aca="false">IF(AND(ISNUMBER(M192),ISNUMBER(L192)),M192-L192,"")</f>
        <v/>
      </c>
      <c r="O192" s="22"/>
      <c r="P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3" t="str">
        <f aca="false">IF(COUNT(I193:K193)=3,(I193+4*J193+K193)/6,"")</f>
        <v/>
      </c>
      <c r="M193" s="22"/>
      <c r="N193" s="23" t="str">
        <f aca="false">IF(AND(ISNUMBER(M193),ISNUMBER(L193)),M193-L193,"")</f>
        <v/>
      </c>
      <c r="O193" s="22"/>
      <c r="P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3" t="str">
        <f aca="false">IF(COUNT(I194:K194)=3,(I194+4*J194+K194)/6,"")</f>
        <v/>
      </c>
      <c r="M194" s="22"/>
      <c r="N194" s="23" t="str">
        <f aca="false">IF(AND(ISNUMBER(M194),ISNUMBER(L194)),M194-L194,"")</f>
        <v/>
      </c>
      <c r="O194" s="22"/>
      <c r="P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3" t="str">
        <f aca="false">IF(COUNT(I195:K195)=3,(I195+4*J195+K195)/6,"")</f>
        <v/>
      </c>
      <c r="M195" s="22"/>
      <c r="N195" s="23" t="str">
        <f aca="false">IF(AND(ISNUMBER(M195),ISNUMBER(L195)),M195-L195,"")</f>
        <v/>
      </c>
      <c r="O195" s="22"/>
      <c r="P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3" t="str">
        <f aca="false">IF(COUNT(I196:K196)=3,(I196+4*J196+K196)/6,"")</f>
        <v/>
      </c>
      <c r="M196" s="22"/>
      <c r="N196" s="23" t="str">
        <f aca="false">IF(AND(ISNUMBER(M196),ISNUMBER(L196)),M196-L196,"")</f>
        <v/>
      </c>
      <c r="O196" s="22"/>
      <c r="P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3" t="str">
        <f aca="false">IF(COUNT(I197:K197)=3,(I197+4*J197+K197)/6,"")</f>
        <v/>
      </c>
      <c r="M197" s="22"/>
      <c r="N197" s="23" t="str">
        <f aca="false">IF(AND(ISNUMBER(M197),ISNUMBER(L197)),M197-L197,"")</f>
        <v/>
      </c>
      <c r="O197" s="22"/>
      <c r="P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3" t="str">
        <f aca="false">IF(COUNT(I198:K198)=3,(I198+4*J198+K198)/6,"")</f>
        <v/>
      </c>
      <c r="M198" s="22"/>
      <c r="N198" s="23" t="str">
        <f aca="false">IF(AND(ISNUMBER(M198),ISNUMBER(L198)),M198-L198,"")</f>
        <v/>
      </c>
      <c r="O198" s="22"/>
      <c r="P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3" t="str">
        <f aca="false">IF(COUNT(I199:K199)=3,(I199+4*J199+K199)/6,"")</f>
        <v/>
      </c>
      <c r="M199" s="22"/>
      <c r="N199" s="23" t="str">
        <f aca="false">IF(AND(ISNUMBER(M199),ISNUMBER(L199)),M199-L199,"")</f>
        <v/>
      </c>
      <c r="O199" s="22"/>
      <c r="P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3" t="str">
        <f aca="false">IF(COUNT(I200:K200)=3,(I200+4*J200+K200)/6,"")</f>
        <v/>
      </c>
      <c r="M200" s="22"/>
      <c r="N200" s="23" t="str">
        <f aca="false">IF(AND(ISNUMBER(M200),ISNUMBER(L200)),M200-L200,"")</f>
        <v/>
      </c>
      <c r="O200" s="22"/>
      <c r="P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3" t="str">
        <f aca="false">IF(COUNT(I201:K201)=3,(I201+4*J201+K201)/6,"")</f>
        <v/>
      </c>
      <c r="M201" s="22"/>
      <c r="N201" s="23" t="str">
        <f aca="false">IF(AND(ISNUMBER(M201),ISNUMBER(L201)),M201-L201,"")</f>
        <v/>
      </c>
      <c r="O201" s="22"/>
      <c r="P201" s="22"/>
    </row>
  </sheetData>
  <dataValidations count="3">
    <dataValidation allowBlank="true" errorStyle="stop" operator="between" showDropDown="false" showErrorMessage="false" showInputMessage="false" sqref="F2:F201" type="list">
      <formula1>"Must,Should,Could,Won't"</formula1>
      <formula2>0</formula2>
    </dataValidation>
    <dataValidation allowBlank="true" errorStyle="stop" operator="between" showDropDown="false" showErrorMessage="false" showInputMessage="false" sqref="G2:G201" type="list">
      <formula1>"Offen,In Arbeit,Erledigt,Gestrichen"</formula1>
      <formula2>0</formula2>
    </dataValidation>
    <dataValidation allowBlank="true" errorStyle="stop" operator="between" showDropDown="false" showErrorMessage="false" showInputMessage="false" sqref="H2:H201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8" min="7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15" t="s">
        <v>81</v>
      </c>
      <c r="B1" s="15" t="s">
        <v>98</v>
      </c>
      <c r="C1" s="15" t="s">
        <v>99</v>
      </c>
      <c r="D1" s="15" t="s">
        <v>100</v>
      </c>
      <c r="E1" s="15" t="s">
        <v>101</v>
      </c>
      <c r="F1" s="15" t="s">
        <v>86</v>
      </c>
      <c r="G1" s="15" t="s">
        <v>102</v>
      </c>
      <c r="H1" s="15" t="s">
        <v>36</v>
      </c>
      <c r="I1" s="15" t="s">
        <v>103</v>
      </c>
      <c r="J1" s="15" t="s">
        <v>104</v>
      </c>
      <c r="K1" s="15" t="s">
        <v>105</v>
      </c>
    </row>
    <row r="2" customFormat="false" ht="15" hidden="false" customHeight="false" outlineLevel="0" collapsed="false">
      <c r="A2" s="22" t="n">
        <v>1</v>
      </c>
      <c r="B2" s="22" t="s">
        <v>106</v>
      </c>
      <c r="C2" s="22"/>
      <c r="D2" s="24"/>
      <c r="E2" s="25" t="n">
        <f aca="false">SUMIFS(Backlog!$L:$L,Backlog!$H:$H,A2,Backlog!$G:$G,"&lt;&gt;Gestrichen")</f>
        <v>4.33333333333333</v>
      </c>
      <c r="F2" s="25" t="n">
        <f aca="false">SUMIFS(Backlog!$M:$M,Backlog!$H:$H,A2)</f>
        <v>6</v>
      </c>
      <c r="G2" s="26" t="n">
        <f aca="false">COUNTIFS(Backlog!$H:$H,A2,Backlog!$G:$G,"&lt;&gt;Gestrichen")</f>
        <v>1</v>
      </c>
      <c r="H2" s="26" t="n">
        <f aca="false">COUNTIFS(Backlog!$H:$H,A2,Backlog!$G:$G,"Erledigt")</f>
        <v>1</v>
      </c>
      <c r="I2" s="27" t="str">
        <f aca="false">IFERROR(E2/D2,"")</f>
        <v/>
      </c>
      <c r="J2" s="22"/>
      <c r="K2" s="22"/>
    </row>
    <row r="3" customFormat="false" ht="23.85" hidden="false" customHeight="false" outlineLevel="0" collapsed="false">
      <c r="A3" s="22" t="n">
        <v>2</v>
      </c>
      <c r="B3" s="22" t="s">
        <v>107</v>
      </c>
      <c r="C3" s="22"/>
      <c r="D3" s="24"/>
      <c r="E3" s="25" t="n">
        <f aca="false">SUMIFS(Backlog!$L:$L,Backlog!$H:$H,A3,Backlog!$G:$G,"&lt;&gt;Gestrichen")</f>
        <v>0</v>
      </c>
      <c r="F3" s="25" t="n">
        <f aca="false">SUMIFS(Backlog!$M:$M,Backlog!$H:$H,A3)</f>
        <v>0</v>
      </c>
      <c r="G3" s="26" t="n">
        <f aca="false">COUNTIFS(Backlog!$H:$H,A3,Backlog!$G:$G,"&lt;&gt;Gestrichen")</f>
        <v>0</v>
      </c>
      <c r="H3" s="26" t="n">
        <f aca="false">COUNTIFS(Backlog!$H:$H,A3,Backlog!$G:$G,"Erledigt")</f>
        <v>0</v>
      </c>
      <c r="I3" s="27" t="str">
        <f aca="false">IFERROR(E3/D3,"")</f>
        <v/>
      </c>
      <c r="J3" s="22"/>
      <c r="K3" s="22"/>
    </row>
    <row r="4" customFormat="false" ht="15" hidden="false" customHeight="false" outlineLevel="0" collapsed="false">
      <c r="A4" s="22" t="n">
        <v>3</v>
      </c>
      <c r="B4" s="22" t="s">
        <v>108</v>
      </c>
      <c r="C4" s="22"/>
      <c r="D4" s="24"/>
      <c r="E4" s="25" t="n">
        <f aca="false">SUMIFS(Backlog!$L:$L,Backlog!$H:$H,A4,Backlog!$G:$G,"&lt;&gt;Gestrichen")</f>
        <v>0</v>
      </c>
      <c r="F4" s="25" t="n">
        <f aca="false">SUMIFS(Backlog!$M:$M,Backlog!$H:$H,A4)</f>
        <v>0</v>
      </c>
      <c r="G4" s="26" t="n">
        <f aca="false">COUNTIFS(Backlog!$H:$H,A4,Backlog!$G:$G,"&lt;&gt;Gestrichen")</f>
        <v>0</v>
      </c>
      <c r="H4" s="26" t="n">
        <f aca="false">COUNTIFS(Backlog!$H:$H,A4,Backlog!$G:$G,"Erledigt")</f>
        <v>0</v>
      </c>
      <c r="I4" s="27" t="str">
        <f aca="false">IFERROR(E4/D4,"")</f>
        <v/>
      </c>
      <c r="J4" s="22"/>
      <c r="K4" s="22"/>
    </row>
    <row r="6" customFormat="false" ht="15" hidden="false" customHeight="false" outlineLevel="0" collapsed="false">
      <c r="A6" s="7" t="s">
        <v>109</v>
      </c>
    </row>
  </sheetData>
  <dataValidations count="1">
    <dataValidation allowBlank="true" errorStyle="stop" operator="between" showDropDown="false" showErrorMessage="false" showInputMessage="false" sqref="J2:J4" type="list">
      <formula1>"Ja,Teilweise,Nein"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8" min="6" style="0" width="10"/>
    <col collapsed="false" customWidth="true" hidden="false" outlineLevel="0" max="13" min="11" style="0" width="10"/>
  </cols>
  <sheetData>
    <row r="1" customFormat="false" ht="15" hidden="false" customHeight="false" outlineLevel="0" collapsed="false">
      <c r="A1" s="10" t="s">
        <v>110</v>
      </c>
      <c r="F1" s="10" t="s">
        <v>111</v>
      </c>
      <c r="K1" s="10" t="s">
        <v>112</v>
      </c>
    </row>
    <row r="2" customFormat="false" ht="15" hidden="false" customHeight="false" outlineLevel="0" collapsed="false">
      <c r="A2" s="28" t="s">
        <v>113</v>
      </c>
      <c r="B2" s="29" t="n">
        <f aca="false">Sprints!E2</f>
        <v>4.33333333333333</v>
      </c>
      <c r="F2" s="28" t="s">
        <v>113</v>
      </c>
      <c r="G2" s="29" t="n">
        <f aca="false">Sprints!E3</f>
        <v>0</v>
      </c>
      <c r="K2" s="28" t="s">
        <v>113</v>
      </c>
      <c r="L2" s="29" t="n">
        <f aca="false">Sprints!E4</f>
        <v>0</v>
      </c>
    </row>
    <row r="4" customFormat="false" ht="15" hidden="false" customHeight="false" outlineLevel="0" collapsed="false">
      <c r="A4" s="30" t="s">
        <v>114</v>
      </c>
      <c r="B4" s="30" t="s">
        <v>115</v>
      </c>
      <c r="C4" s="30" t="s">
        <v>116</v>
      </c>
      <c r="F4" s="30" t="s">
        <v>114</v>
      </c>
      <c r="G4" s="30" t="s">
        <v>115</v>
      </c>
      <c r="H4" s="30" t="s">
        <v>116</v>
      </c>
      <c r="K4" s="30" t="s">
        <v>114</v>
      </c>
      <c r="L4" s="30" t="s">
        <v>115</v>
      </c>
      <c r="M4" s="30" t="s">
        <v>116</v>
      </c>
    </row>
    <row r="5" customFormat="false" ht="15" hidden="false" customHeight="false" outlineLevel="0" collapsed="false">
      <c r="A5" s="31" t="n">
        <v>0</v>
      </c>
      <c r="B5" s="32" t="n">
        <f aca="false">$B$2*(1-A5/14)</f>
        <v>4.33333333333333</v>
      </c>
      <c r="C5" s="33"/>
      <c r="F5" s="31" t="n">
        <v>0</v>
      </c>
      <c r="G5" s="32" t="n">
        <f aca="false">$G$2*(1-F5/14)</f>
        <v>0</v>
      </c>
      <c r="H5" s="33"/>
      <c r="K5" s="31" t="n">
        <v>0</v>
      </c>
      <c r="L5" s="32" t="n">
        <f aca="false">$L$2*(1-K5/14)</f>
        <v>0</v>
      </c>
      <c r="M5" s="33"/>
    </row>
    <row r="6" customFormat="false" ht="15" hidden="false" customHeight="false" outlineLevel="0" collapsed="false">
      <c r="A6" s="31" t="n">
        <v>1</v>
      </c>
      <c r="B6" s="32" t="n">
        <f aca="false">$B$2*(1-A6/14)</f>
        <v>4.02380952380952</v>
      </c>
      <c r="C6" s="33"/>
      <c r="F6" s="31" t="n">
        <v>1</v>
      </c>
      <c r="G6" s="32" t="n">
        <f aca="false">$G$2*(1-F6/14)</f>
        <v>0</v>
      </c>
      <c r="H6" s="33"/>
      <c r="K6" s="31" t="n">
        <v>1</v>
      </c>
      <c r="L6" s="32" t="n">
        <f aca="false">$L$2*(1-K6/14)</f>
        <v>0</v>
      </c>
      <c r="M6" s="33"/>
    </row>
    <row r="7" customFormat="false" ht="15" hidden="false" customHeight="false" outlineLevel="0" collapsed="false">
      <c r="A7" s="31" t="n">
        <v>2</v>
      </c>
      <c r="B7" s="32" t="n">
        <f aca="false">$B$2*(1-A7/14)</f>
        <v>3.71428571428571</v>
      </c>
      <c r="C7" s="33"/>
      <c r="F7" s="31" t="n">
        <v>2</v>
      </c>
      <c r="G7" s="32" t="n">
        <f aca="false">$G$2*(1-F7/14)</f>
        <v>0</v>
      </c>
      <c r="H7" s="33"/>
      <c r="K7" s="31" t="n">
        <v>2</v>
      </c>
      <c r="L7" s="32" t="n">
        <f aca="false">$L$2*(1-K7/14)</f>
        <v>0</v>
      </c>
      <c r="M7" s="33"/>
    </row>
    <row r="8" customFormat="false" ht="15" hidden="false" customHeight="false" outlineLevel="0" collapsed="false">
      <c r="A8" s="31" t="n">
        <v>3</v>
      </c>
      <c r="B8" s="32" t="n">
        <f aca="false">$B$2*(1-A8/14)</f>
        <v>3.4047619047619</v>
      </c>
      <c r="C8" s="33"/>
      <c r="F8" s="31" t="n">
        <v>3</v>
      </c>
      <c r="G8" s="32" t="n">
        <f aca="false">$G$2*(1-F8/14)</f>
        <v>0</v>
      </c>
      <c r="H8" s="33"/>
      <c r="K8" s="31" t="n">
        <v>3</v>
      </c>
      <c r="L8" s="32" t="n">
        <f aca="false">$L$2*(1-K8/14)</f>
        <v>0</v>
      </c>
      <c r="M8" s="33"/>
    </row>
    <row r="9" customFormat="false" ht="15" hidden="false" customHeight="false" outlineLevel="0" collapsed="false">
      <c r="A9" s="31" t="n">
        <v>4</v>
      </c>
      <c r="B9" s="32" t="n">
        <f aca="false">$B$2*(1-A9/14)</f>
        <v>3.0952380952381</v>
      </c>
      <c r="C9" s="33"/>
      <c r="F9" s="31" t="n">
        <v>4</v>
      </c>
      <c r="G9" s="32" t="n">
        <f aca="false">$G$2*(1-F9/14)</f>
        <v>0</v>
      </c>
      <c r="H9" s="33"/>
      <c r="K9" s="31" t="n">
        <v>4</v>
      </c>
      <c r="L9" s="32" t="n">
        <f aca="false">$L$2*(1-K9/14)</f>
        <v>0</v>
      </c>
      <c r="M9" s="33"/>
    </row>
    <row r="10" customFormat="false" ht="15" hidden="false" customHeight="false" outlineLevel="0" collapsed="false">
      <c r="A10" s="31" t="n">
        <v>5</v>
      </c>
      <c r="B10" s="32" t="n">
        <f aca="false">$B$2*(1-A10/14)</f>
        <v>2.78571428571429</v>
      </c>
      <c r="C10" s="33"/>
      <c r="F10" s="31" t="n">
        <v>5</v>
      </c>
      <c r="G10" s="32" t="n">
        <f aca="false">$G$2*(1-F10/14)</f>
        <v>0</v>
      </c>
      <c r="H10" s="33"/>
      <c r="K10" s="31" t="n">
        <v>5</v>
      </c>
      <c r="L10" s="32" t="n">
        <f aca="false">$L$2*(1-K10/14)</f>
        <v>0</v>
      </c>
      <c r="M10" s="33"/>
    </row>
    <row r="11" customFormat="false" ht="15" hidden="false" customHeight="false" outlineLevel="0" collapsed="false">
      <c r="A11" s="31" t="n">
        <v>6</v>
      </c>
      <c r="B11" s="32" t="n">
        <f aca="false">$B$2*(1-A11/14)</f>
        <v>2.47619047619048</v>
      </c>
      <c r="C11" s="33"/>
      <c r="F11" s="31" t="n">
        <v>6</v>
      </c>
      <c r="G11" s="32" t="n">
        <f aca="false">$G$2*(1-F11/14)</f>
        <v>0</v>
      </c>
      <c r="H11" s="33"/>
      <c r="K11" s="31" t="n">
        <v>6</v>
      </c>
      <c r="L11" s="32" t="n">
        <f aca="false">$L$2*(1-K11/14)</f>
        <v>0</v>
      </c>
      <c r="M11" s="33"/>
    </row>
    <row r="12" customFormat="false" ht="15" hidden="false" customHeight="false" outlineLevel="0" collapsed="false">
      <c r="A12" s="31" t="n">
        <v>7</v>
      </c>
      <c r="B12" s="32" t="n">
        <f aca="false">$B$2*(1-A12/14)</f>
        <v>2.16666666666667</v>
      </c>
      <c r="C12" s="33"/>
      <c r="F12" s="31" t="n">
        <v>7</v>
      </c>
      <c r="G12" s="32" t="n">
        <f aca="false">$G$2*(1-F12/14)</f>
        <v>0</v>
      </c>
      <c r="H12" s="33"/>
      <c r="K12" s="31" t="n">
        <v>7</v>
      </c>
      <c r="L12" s="32" t="n">
        <f aca="false">$L$2*(1-K12/14)</f>
        <v>0</v>
      </c>
      <c r="M12" s="33"/>
    </row>
    <row r="13" customFormat="false" ht="15" hidden="false" customHeight="false" outlineLevel="0" collapsed="false">
      <c r="A13" s="31" t="n">
        <v>8</v>
      </c>
      <c r="B13" s="32" t="n">
        <f aca="false">$B$2*(1-A13/14)</f>
        <v>1.85714285714286</v>
      </c>
      <c r="C13" s="33"/>
      <c r="F13" s="31" t="n">
        <v>8</v>
      </c>
      <c r="G13" s="32" t="n">
        <f aca="false">$G$2*(1-F13/14)</f>
        <v>0</v>
      </c>
      <c r="H13" s="33"/>
      <c r="K13" s="31" t="n">
        <v>8</v>
      </c>
      <c r="L13" s="32" t="n">
        <f aca="false">$L$2*(1-K13/14)</f>
        <v>0</v>
      </c>
      <c r="M13" s="33"/>
    </row>
    <row r="14" customFormat="false" ht="15" hidden="false" customHeight="false" outlineLevel="0" collapsed="false">
      <c r="A14" s="31" t="n">
        <v>9</v>
      </c>
      <c r="B14" s="32" t="n">
        <f aca="false">$B$2*(1-A14/14)</f>
        <v>1.54761904761905</v>
      </c>
      <c r="C14" s="33"/>
      <c r="F14" s="31" t="n">
        <v>9</v>
      </c>
      <c r="G14" s="32" t="n">
        <f aca="false">$G$2*(1-F14/14)</f>
        <v>0</v>
      </c>
      <c r="H14" s="33"/>
      <c r="K14" s="31" t="n">
        <v>9</v>
      </c>
      <c r="L14" s="32" t="n">
        <f aca="false">$L$2*(1-K14/14)</f>
        <v>0</v>
      </c>
      <c r="M14" s="33"/>
    </row>
    <row r="15" customFormat="false" ht="15" hidden="false" customHeight="false" outlineLevel="0" collapsed="false">
      <c r="A15" s="31" t="n">
        <v>10</v>
      </c>
      <c r="B15" s="32" t="n">
        <f aca="false">$B$2*(1-A15/14)</f>
        <v>1.23809523809524</v>
      </c>
      <c r="C15" s="33"/>
      <c r="F15" s="31" t="n">
        <v>10</v>
      </c>
      <c r="G15" s="32" t="n">
        <f aca="false">$G$2*(1-F15/14)</f>
        <v>0</v>
      </c>
      <c r="H15" s="33"/>
      <c r="K15" s="31" t="n">
        <v>10</v>
      </c>
      <c r="L15" s="32" t="n">
        <f aca="false">$L$2*(1-K15/14)</f>
        <v>0</v>
      </c>
      <c r="M15" s="33"/>
    </row>
    <row r="16" customFormat="false" ht="15" hidden="false" customHeight="false" outlineLevel="0" collapsed="false">
      <c r="A16" s="31" t="n">
        <v>11</v>
      </c>
      <c r="B16" s="32" t="n">
        <f aca="false">$B$2*(1-A16/14)</f>
        <v>0.928571428571429</v>
      </c>
      <c r="C16" s="33"/>
      <c r="F16" s="31" t="n">
        <v>11</v>
      </c>
      <c r="G16" s="32" t="n">
        <f aca="false">$G$2*(1-F16/14)</f>
        <v>0</v>
      </c>
      <c r="H16" s="33"/>
      <c r="K16" s="31" t="n">
        <v>11</v>
      </c>
      <c r="L16" s="32" t="n">
        <f aca="false">$L$2*(1-K16/14)</f>
        <v>0</v>
      </c>
      <c r="M16" s="33"/>
    </row>
    <row r="17" customFormat="false" ht="15" hidden="false" customHeight="false" outlineLevel="0" collapsed="false">
      <c r="A17" s="31" t="n">
        <v>12</v>
      </c>
      <c r="B17" s="32" t="n">
        <f aca="false">$B$2*(1-A17/14)</f>
        <v>0.619047619047619</v>
      </c>
      <c r="C17" s="33"/>
      <c r="F17" s="31" t="n">
        <v>12</v>
      </c>
      <c r="G17" s="32" t="n">
        <f aca="false">$G$2*(1-F17/14)</f>
        <v>0</v>
      </c>
      <c r="H17" s="33"/>
      <c r="K17" s="31" t="n">
        <v>12</v>
      </c>
      <c r="L17" s="32" t="n">
        <f aca="false">$L$2*(1-K17/14)</f>
        <v>0</v>
      </c>
      <c r="M17" s="33"/>
    </row>
    <row r="18" customFormat="false" ht="15" hidden="false" customHeight="false" outlineLevel="0" collapsed="false">
      <c r="A18" s="31" t="n">
        <v>13</v>
      </c>
      <c r="B18" s="32" t="n">
        <f aca="false">$B$2*(1-A18/14)</f>
        <v>0.309523809523809</v>
      </c>
      <c r="C18" s="33"/>
      <c r="F18" s="31" t="n">
        <v>13</v>
      </c>
      <c r="G18" s="32" t="n">
        <f aca="false">$G$2*(1-F18/14)</f>
        <v>0</v>
      </c>
      <c r="H18" s="33"/>
      <c r="K18" s="31" t="n">
        <v>13</v>
      </c>
      <c r="L18" s="32" t="n">
        <f aca="false">$L$2*(1-K18/14)</f>
        <v>0</v>
      </c>
      <c r="M18" s="33"/>
    </row>
    <row r="19" customFormat="false" ht="15" hidden="false" customHeight="false" outlineLevel="0" collapsed="false">
      <c r="A19" s="31" t="n">
        <v>14</v>
      </c>
      <c r="B19" s="32" t="n">
        <f aca="false">$B$2*(1-A19/14)</f>
        <v>0</v>
      </c>
      <c r="C19" s="33"/>
      <c r="F19" s="31" t="n">
        <v>14</v>
      </c>
      <c r="G19" s="32" t="n">
        <f aca="false">$G$2*(1-F19/14)</f>
        <v>0</v>
      </c>
      <c r="H19" s="33"/>
      <c r="K19" s="31" t="n">
        <v>14</v>
      </c>
      <c r="L19" s="32" t="n">
        <f aca="false">$L$2*(1-K19/14)</f>
        <v>0</v>
      </c>
      <c r="M19" s="33"/>
    </row>
    <row r="38" customFormat="false" ht="15" hidden="false" customHeight="false" outlineLevel="0" collapsed="false">
      <c r="A38" s="7" t="s">
        <v>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14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38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24"/>
  </cols>
  <sheetData>
    <row r="1" customFormat="false" ht="31.5" hidden="false" customHeight="true" outlineLevel="0" collapsed="false">
      <c r="A1" s="15" t="s">
        <v>74</v>
      </c>
      <c r="B1" s="15" t="s">
        <v>118</v>
      </c>
      <c r="C1" s="15" t="s">
        <v>119</v>
      </c>
      <c r="D1" s="15" t="s">
        <v>120</v>
      </c>
      <c r="E1" s="15" t="s">
        <v>121</v>
      </c>
      <c r="F1" s="15" t="s">
        <v>122</v>
      </c>
      <c r="G1" s="15" t="s">
        <v>123</v>
      </c>
      <c r="H1" s="15" t="s">
        <v>124</v>
      </c>
      <c r="I1" s="15" t="s">
        <v>125</v>
      </c>
      <c r="J1" s="15" t="s">
        <v>80</v>
      </c>
      <c r="K1" s="15" t="s">
        <v>126</v>
      </c>
      <c r="L1" s="15" t="s">
        <v>127</v>
      </c>
    </row>
    <row r="2" customFormat="false" ht="23.85" hidden="false" customHeight="false" outlineLevel="0" collapsed="false">
      <c r="A2" s="19" t="s">
        <v>90</v>
      </c>
      <c r="B2" s="19" t="s">
        <v>128</v>
      </c>
      <c r="C2" s="19" t="s">
        <v>34</v>
      </c>
      <c r="D2" s="19" t="n">
        <v>4</v>
      </c>
      <c r="E2" s="19" t="n">
        <v>4</v>
      </c>
      <c r="F2" s="34" t="n">
        <f aca="false">IF(AND(ISNUMBER(D2),ISNUMBER(E2)),D2*E2,"")</f>
        <v>16</v>
      </c>
      <c r="G2" s="35" t="str">
        <f aca="false">IF(F2="","",IF(F2&gt;=15,"hoch",IF(F2&gt;=8,"mittel","niedrig")))</f>
        <v>hoch</v>
      </c>
      <c r="H2" s="19" t="s">
        <v>129</v>
      </c>
      <c r="I2" s="19" t="s">
        <v>130</v>
      </c>
      <c r="J2" s="19" t="s">
        <v>131</v>
      </c>
      <c r="K2" s="19" t="s">
        <v>132</v>
      </c>
      <c r="L2" s="19"/>
    </row>
    <row r="3" customFormat="false" ht="15" hidden="false" customHeight="false" outlineLevel="0" collapsed="false">
      <c r="A3" s="22"/>
      <c r="B3" s="22"/>
      <c r="C3" s="22"/>
      <c r="D3" s="22"/>
      <c r="E3" s="22"/>
      <c r="F3" s="34" t="str">
        <f aca="false">IF(AND(ISNUMBER(D3),ISNUMBER(E3)),D3*E3,"")</f>
        <v/>
      </c>
      <c r="G3" s="35" t="str">
        <f aca="false">IF(F3="","",IF(F3&gt;=15,"hoch",IF(F3&gt;=8,"mittel","niedrig")))</f>
        <v/>
      </c>
      <c r="H3" s="22"/>
      <c r="I3" s="22"/>
      <c r="J3" s="22"/>
      <c r="K3" s="22"/>
      <c r="L3" s="22"/>
    </row>
    <row r="4" customFormat="false" ht="15" hidden="false" customHeight="false" outlineLevel="0" collapsed="false">
      <c r="A4" s="22"/>
      <c r="B4" s="22"/>
      <c r="C4" s="22"/>
      <c r="D4" s="22"/>
      <c r="E4" s="22"/>
      <c r="F4" s="34" t="str">
        <f aca="false">IF(AND(ISNUMBER(D4),ISNUMBER(E4)),D4*E4,"")</f>
        <v/>
      </c>
      <c r="G4" s="35" t="str">
        <f aca="false">IF(F4="","",IF(F4&gt;=15,"hoch",IF(F4&gt;=8,"mittel","niedrig")))</f>
        <v/>
      </c>
      <c r="H4" s="22"/>
      <c r="I4" s="22"/>
      <c r="J4" s="22"/>
      <c r="K4" s="22"/>
      <c r="L4" s="22"/>
    </row>
    <row r="5" customFormat="false" ht="15" hidden="false" customHeight="false" outlineLevel="0" collapsed="false">
      <c r="A5" s="22"/>
      <c r="B5" s="22"/>
      <c r="C5" s="22"/>
      <c r="D5" s="22"/>
      <c r="E5" s="22"/>
      <c r="F5" s="34" t="str">
        <f aca="false">IF(AND(ISNUMBER(D5),ISNUMBER(E5)),D5*E5,"")</f>
        <v/>
      </c>
      <c r="G5" s="35" t="str">
        <f aca="false">IF(F5="","",IF(F5&gt;=15,"hoch",IF(F5&gt;=8,"mittel","niedrig")))</f>
        <v/>
      </c>
      <c r="H5" s="22"/>
      <c r="I5" s="22"/>
      <c r="J5" s="22"/>
      <c r="K5" s="22"/>
      <c r="L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34" t="str">
        <f aca="false">IF(AND(ISNUMBER(D6),ISNUMBER(E6)),D6*E6,"")</f>
        <v/>
      </c>
      <c r="G6" s="35" t="str">
        <f aca="false">IF(F6="","",IF(F6&gt;=15,"hoch",IF(F6&gt;=8,"mittel","niedrig")))</f>
        <v/>
      </c>
      <c r="H6" s="22"/>
      <c r="I6" s="22"/>
      <c r="J6" s="22"/>
      <c r="K6" s="22"/>
      <c r="L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34" t="str">
        <f aca="false">IF(AND(ISNUMBER(D7),ISNUMBER(E7)),D7*E7,"")</f>
        <v/>
      </c>
      <c r="G7" s="35" t="str">
        <f aca="false">IF(F7="","",IF(F7&gt;=15,"hoch",IF(F7&gt;=8,"mittel","niedrig")))</f>
        <v/>
      </c>
      <c r="H7" s="22"/>
      <c r="I7" s="22"/>
      <c r="J7" s="22"/>
      <c r="K7" s="22"/>
      <c r="L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34" t="str">
        <f aca="false">IF(AND(ISNUMBER(D8),ISNUMBER(E8)),D8*E8,"")</f>
        <v/>
      </c>
      <c r="G8" s="35" t="str">
        <f aca="false">IF(F8="","",IF(F8&gt;=15,"hoch",IF(F8&gt;=8,"mittel","niedrig")))</f>
        <v/>
      </c>
      <c r="H8" s="22"/>
      <c r="I8" s="22"/>
      <c r="J8" s="22"/>
      <c r="K8" s="22"/>
      <c r="L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34" t="str">
        <f aca="false">IF(AND(ISNUMBER(D9),ISNUMBER(E9)),D9*E9,"")</f>
        <v/>
      </c>
      <c r="G9" s="35" t="str">
        <f aca="false">IF(F9="","",IF(F9&gt;=15,"hoch",IF(F9&gt;=8,"mittel","niedrig")))</f>
        <v/>
      </c>
      <c r="H9" s="22"/>
      <c r="I9" s="22"/>
      <c r="J9" s="22"/>
      <c r="K9" s="22"/>
      <c r="L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34" t="str">
        <f aca="false">IF(AND(ISNUMBER(D10),ISNUMBER(E10)),D10*E10,"")</f>
        <v/>
      </c>
      <c r="G10" s="35" t="str">
        <f aca="false">IF(F10="","",IF(F10&gt;=15,"hoch",IF(F10&gt;=8,"mittel","niedrig")))</f>
        <v/>
      </c>
      <c r="H10" s="22"/>
      <c r="I10" s="22"/>
      <c r="J10" s="22"/>
      <c r="K10" s="22"/>
      <c r="L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34" t="str">
        <f aca="false">IF(AND(ISNUMBER(D11),ISNUMBER(E11)),D11*E11,"")</f>
        <v/>
      </c>
      <c r="G11" s="35" t="str">
        <f aca="false">IF(F11="","",IF(F11&gt;=15,"hoch",IF(F11&gt;=8,"mittel","niedrig")))</f>
        <v/>
      </c>
      <c r="H11" s="22"/>
      <c r="I11" s="22"/>
      <c r="J11" s="22"/>
      <c r="K11" s="22"/>
      <c r="L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34" t="str">
        <f aca="false">IF(AND(ISNUMBER(D12),ISNUMBER(E12)),D12*E12,"")</f>
        <v/>
      </c>
      <c r="G12" s="35" t="str">
        <f aca="false">IF(F12="","",IF(F12&gt;=15,"hoch",IF(F12&gt;=8,"mittel","niedrig")))</f>
        <v/>
      </c>
      <c r="H12" s="22"/>
      <c r="I12" s="22"/>
      <c r="J12" s="22"/>
      <c r="K12" s="22"/>
      <c r="L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34" t="str">
        <f aca="false">IF(AND(ISNUMBER(D13),ISNUMBER(E13)),D13*E13,"")</f>
        <v/>
      </c>
      <c r="G13" s="35" t="str">
        <f aca="false">IF(F13="","",IF(F13&gt;=15,"hoch",IF(F13&gt;=8,"mittel","niedrig")))</f>
        <v/>
      </c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34" t="str">
        <f aca="false">IF(AND(ISNUMBER(D14),ISNUMBER(E14)),D14*E14,"")</f>
        <v/>
      </c>
      <c r="G14" s="35" t="str">
        <f aca="false">IF(F14="","",IF(F14&gt;=15,"hoch",IF(F14&gt;=8,"mittel","niedrig")))</f>
        <v/>
      </c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34" t="str">
        <f aca="false">IF(AND(ISNUMBER(D15),ISNUMBER(E15)),D15*E15,"")</f>
        <v/>
      </c>
      <c r="G15" s="35" t="str">
        <f aca="false">IF(F15="","",IF(F15&gt;=15,"hoch",IF(F15&gt;=8,"mittel","niedrig")))</f>
        <v/>
      </c>
      <c r="H15" s="22"/>
      <c r="I15" s="22"/>
      <c r="J15" s="22"/>
      <c r="K15" s="22"/>
      <c r="L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34" t="str">
        <f aca="false">IF(AND(ISNUMBER(D16),ISNUMBER(E16)),D16*E16,"")</f>
        <v/>
      </c>
      <c r="G16" s="35" t="str">
        <f aca="false">IF(F16="","",IF(F16&gt;=15,"hoch",IF(F16&gt;=8,"mittel","niedrig")))</f>
        <v/>
      </c>
      <c r="H16" s="22"/>
      <c r="I16" s="22"/>
      <c r="J16" s="22"/>
      <c r="K16" s="22"/>
      <c r="L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34" t="str">
        <f aca="false">IF(AND(ISNUMBER(D17),ISNUMBER(E17)),D17*E17,"")</f>
        <v/>
      </c>
      <c r="G17" s="35" t="str">
        <f aca="false">IF(F17="","",IF(F17&gt;=15,"hoch",IF(F17&gt;=8,"mittel","niedrig")))</f>
        <v/>
      </c>
      <c r="H17" s="22"/>
      <c r="I17" s="22"/>
      <c r="J17" s="22"/>
      <c r="K17" s="22"/>
      <c r="L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34" t="str">
        <f aca="false">IF(AND(ISNUMBER(D18),ISNUMBER(E18)),D18*E18,"")</f>
        <v/>
      </c>
      <c r="G18" s="35" t="str">
        <f aca="false">IF(F18="","",IF(F18&gt;=15,"hoch",IF(F18&gt;=8,"mittel","niedrig")))</f>
        <v/>
      </c>
      <c r="H18" s="22"/>
      <c r="I18" s="22"/>
      <c r="J18" s="22"/>
      <c r="K18" s="22"/>
      <c r="L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34" t="str">
        <f aca="false">IF(AND(ISNUMBER(D19),ISNUMBER(E19)),D19*E19,"")</f>
        <v/>
      </c>
      <c r="G19" s="35" t="str">
        <f aca="false">IF(F19="","",IF(F19&gt;=15,"hoch",IF(F19&gt;=8,"mittel","niedrig")))</f>
        <v/>
      </c>
      <c r="H19" s="22"/>
      <c r="I19" s="22"/>
      <c r="J19" s="22"/>
      <c r="K19" s="22"/>
      <c r="L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34" t="str">
        <f aca="false">IF(AND(ISNUMBER(D20),ISNUMBER(E20)),D20*E20,"")</f>
        <v/>
      </c>
      <c r="G20" s="35" t="str">
        <f aca="false">IF(F20="","",IF(F20&gt;=15,"hoch",IF(F20&gt;=8,"mittel","niedrig")))</f>
        <v/>
      </c>
      <c r="H20" s="22"/>
      <c r="I20" s="22"/>
      <c r="J20" s="22"/>
      <c r="K20" s="22"/>
      <c r="L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34" t="str">
        <f aca="false">IF(AND(ISNUMBER(D21),ISNUMBER(E21)),D21*E21,"")</f>
        <v/>
      </c>
      <c r="G21" s="35" t="str">
        <f aca="false">IF(F21="","",IF(F21&gt;=15,"hoch",IF(F21&gt;=8,"mittel","niedrig")))</f>
        <v/>
      </c>
      <c r="H21" s="22"/>
      <c r="I21" s="22"/>
      <c r="J21" s="22"/>
      <c r="K21" s="22"/>
      <c r="L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34" t="str">
        <f aca="false">IF(AND(ISNUMBER(D22),ISNUMBER(E22)),D22*E22,"")</f>
        <v/>
      </c>
      <c r="G22" s="35" t="str">
        <f aca="false">IF(F22="","",IF(F22&gt;=15,"hoch",IF(F22&gt;=8,"mittel","niedrig")))</f>
        <v/>
      </c>
      <c r="H22" s="22"/>
      <c r="I22" s="22"/>
      <c r="J22" s="22"/>
      <c r="K22" s="22"/>
      <c r="L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34" t="str">
        <f aca="false">IF(AND(ISNUMBER(D23),ISNUMBER(E23)),D23*E23,"")</f>
        <v/>
      </c>
      <c r="G23" s="35" t="str">
        <f aca="false">IF(F23="","",IF(F23&gt;=15,"hoch",IF(F23&gt;=8,"mittel","niedrig")))</f>
        <v/>
      </c>
      <c r="H23" s="22"/>
      <c r="I23" s="22"/>
      <c r="J23" s="22"/>
      <c r="K23" s="22"/>
      <c r="L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34" t="str">
        <f aca="false">IF(AND(ISNUMBER(D24),ISNUMBER(E24)),D24*E24,"")</f>
        <v/>
      </c>
      <c r="G24" s="35" t="str">
        <f aca="false">IF(F24="","",IF(F24&gt;=15,"hoch",IF(F24&gt;=8,"mittel","niedrig")))</f>
        <v/>
      </c>
      <c r="H24" s="22"/>
      <c r="I24" s="22"/>
      <c r="J24" s="22"/>
      <c r="K24" s="22"/>
      <c r="L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34" t="str">
        <f aca="false">IF(AND(ISNUMBER(D25),ISNUMBER(E25)),D25*E25,"")</f>
        <v/>
      </c>
      <c r="G25" s="35" t="str">
        <f aca="false">IF(F25="","",IF(F25&gt;=15,"hoch",IF(F25&gt;=8,"mittel","niedrig")))</f>
        <v/>
      </c>
      <c r="H25" s="22"/>
      <c r="I25" s="22"/>
      <c r="J25" s="22"/>
      <c r="K25" s="22"/>
      <c r="L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34" t="str">
        <f aca="false">IF(AND(ISNUMBER(D26),ISNUMBER(E26)),D26*E26,"")</f>
        <v/>
      </c>
      <c r="G26" s="35" t="str">
        <f aca="false">IF(F26="","",IF(F26&gt;=15,"hoch",IF(F26&gt;=8,"mittel","niedrig")))</f>
        <v/>
      </c>
      <c r="H26" s="22"/>
      <c r="I26" s="22"/>
      <c r="J26" s="22"/>
      <c r="K26" s="22"/>
      <c r="L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34" t="str">
        <f aca="false">IF(AND(ISNUMBER(D27),ISNUMBER(E27)),D27*E27,"")</f>
        <v/>
      </c>
      <c r="G27" s="35" t="str">
        <f aca="false">IF(F27="","",IF(F27&gt;=15,"hoch",IF(F27&gt;=8,"mittel","niedrig")))</f>
        <v/>
      </c>
      <c r="H27" s="22"/>
      <c r="I27" s="22"/>
      <c r="J27" s="22"/>
      <c r="K27" s="22"/>
      <c r="L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34" t="str">
        <f aca="false">IF(AND(ISNUMBER(D28),ISNUMBER(E28)),D28*E28,"")</f>
        <v/>
      </c>
      <c r="G28" s="35" t="str">
        <f aca="false">IF(F28="","",IF(F28&gt;=15,"hoch",IF(F28&gt;=8,"mittel","niedrig")))</f>
        <v/>
      </c>
      <c r="H28" s="22"/>
      <c r="I28" s="22"/>
      <c r="J28" s="22"/>
      <c r="K28" s="22"/>
      <c r="L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34" t="str">
        <f aca="false">IF(AND(ISNUMBER(D29),ISNUMBER(E29)),D29*E29,"")</f>
        <v/>
      </c>
      <c r="G29" s="35" t="str">
        <f aca="false">IF(F29="","",IF(F29&gt;=15,"hoch",IF(F29&gt;=8,"mittel","niedrig")))</f>
        <v/>
      </c>
      <c r="H29" s="22"/>
      <c r="I29" s="22"/>
      <c r="J29" s="22"/>
      <c r="K29" s="22"/>
      <c r="L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34" t="str">
        <f aca="false">IF(AND(ISNUMBER(D30),ISNUMBER(E30)),D30*E30,"")</f>
        <v/>
      </c>
      <c r="G30" s="35" t="str">
        <f aca="false">IF(F30="","",IF(F30&gt;=15,"hoch",IF(F30&gt;=8,"mittel","niedrig")))</f>
        <v/>
      </c>
      <c r="H30" s="22"/>
      <c r="I30" s="22"/>
      <c r="J30" s="22"/>
      <c r="K30" s="22"/>
      <c r="L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34" t="str">
        <f aca="false">IF(AND(ISNUMBER(D31),ISNUMBER(E31)),D31*E31,"")</f>
        <v/>
      </c>
      <c r="G31" s="35" t="str">
        <f aca="false">IF(F31="","",IF(F31&gt;=15,"hoch",IF(F31&gt;=8,"mittel","niedrig")))</f>
        <v/>
      </c>
      <c r="H31" s="22"/>
      <c r="I31" s="22"/>
      <c r="J31" s="22"/>
      <c r="K31" s="22"/>
      <c r="L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34" t="str">
        <f aca="false">IF(AND(ISNUMBER(D32),ISNUMBER(E32)),D32*E32,"")</f>
        <v/>
      </c>
      <c r="G32" s="35" t="str">
        <f aca="false">IF(F32="","",IF(F32&gt;=15,"hoch",IF(F32&gt;=8,"mittel","niedrig")))</f>
        <v/>
      </c>
      <c r="H32" s="22"/>
      <c r="I32" s="22"/>
      <c r="J32" s="22"/>
      <c r="K32" s="22"/>
      <c r="L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34" t="str">
        <f aca="false">IF(AND(ISNUMBER(D33),ISNUMBER(E33)),D33*E33,"")</f>
        <v/>
      </c>
      <c r="G33" s="35" t="str">
        <f aca="false">IF(F33="","",IF(F33&gt;=15,"hoch",IF(F33&gt;=8,"mittel","niedrig")))</f>
        <v/>
      </c>
      <c r="H33" s="22"/>
      <c r="I33" s="22"/>
      <c r="J33" s="22"/>
      <c r="K33" s="22"/>
      <c r="L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34" t="str">
        <f aca="false">IF(AND(ISNUMBER(D34),ISNUMBER(E34)),D34*E34,"")</f>
        <v/>
      </c>
      <c r="G34" s="35" t="str">
        <f aca="false">IF(F34="","",IF(F34&gt;=15,"hoch",IF(F34&gt;=8,"mittel","niedrig")))</f>
        <v/>
      </c>
      <c r="H34" s="22"/>
      <c r="I34" s="22"/>
      <c r="J34" s="22"/>
      <c r="K34" s="22"/>
      <c r="L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34" t="str">
        <f aca="false">IF(AND(ISNUMBER(D35),ISNUMBER(E35)),D35*E35,"")</f>
        <v/>
      </c>
      <c r="G35" s="35" t="str">
        <f aca="false">IF(F35="","",IF(F35&gt;=15,"hoch",IF(F35&gt;=8,"mittel","niedrig")))</f>
        <v/>
      </c>
      <c r="H35" s="22"/>
      <c r="I35" s="22"/>
      <c r="J35" s="22"/>
      <c r="K35" s="22"/>
      <c r="L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34" t="str">
        <f aca="false">IF(AND(ISNUMBER(D36),ISNUMBER(E36)),D36*E36,"")</f>
        <v/>
      </c>
      <c r="G36" s="35" t="str">
        <f aca="false">IF(F36="","",IF(F36&gt;=15,"hoch",IF(F36&gt;=8,"mittel","niedrig")))</f>
        <v/>
      </c>
      <c r="H36" s="22"/>
      <c r="I36" s="22"/>
      <c r="J36" s="22"/>
      <c r="K36" s="22"/>
      <c r="L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34" t="str">
        <f aca="false">IF(AND(ISNUMBER(D37),ISNUMBER(E37)),D37*E37,"")</f>
        <v/>
      </c>
      <c r="G37" s="35" t="str">
        <f aca="false">IF(F37="","",IF(F37&gt;=15,"hoch",IF(F37&gt;=8,"mittel","niedrig")))</f>
        <v/>
      </c>
      <c r="H37" s="22"/>
      <c r="I37" s="22"/>
      <c r="J37" s="22"/>
      <c r="K37" s="22"/>
      <c r="L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34" t="str">
        <f aca="false">IF(AND(ISNUMBER(D38),ISNUMBER(E38)),D38*E38,"")</f>
        <v/>
      </c>
      <c r="G38" s="35" t="str">
        <f aca="false">IF(F38="","",IF(F38&gt;=15,"hoch",IF(F38&gt;=8,"mittel","niedrig")))</f>
        <v/>
      </c>
      <c r="H38" s="22"/>
      <c r="I38" s="22"/>
      <c r="J38" s="22"/>
      <c r="K38" s="22"/>
      <c r="L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34" t="str">
        <f aca="false">IF(AND(ISNUMBER(D39),ISNUMBER(E39)),D39*E39,"")</f>
        <v/>
      </c>
      <c r="G39" s="35" t="str">
        <f aca="false">IF(F39="","",IF(F39&gt;=15,"hoch",IF(F39&gt;=8,"mittel","niedrig")))</f>
        <v/>
      </c>
      <c r="H39" s="22"/>
      <c r="I39" s="22"/>
      <c r="J39" s="22"/>
      <c r="K39" s="22"/>
      <c r="L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34" t="str">
        <f aca="false">IF(AND(ISNUMBER(D40),ISNUMBER(E40)),D40*E40,"")</f>
        <v/>
      </c>
      <c r="G40" s="35" t="str">
        <f aca="false">IF(F40="","",IF(F40&gt;=15,"hoch",IF(F40&gt;=8,"mittel","niedrig")))</f>
        <v/>
      </c>
      <c r="H40" s="22"/>
      <c r="I40" s="22"/>
      <c r="J40" s="22"/>
      <c r="K40" s="22"/>
      <c r="L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34" t="str">
        <f aca="false">IF(AND(ISNUMBER(D41),ISNUMBER(E41)),D41*E41,"")</f>
        <v/>
      </c>
      <c r="G41" s="35" t="str">
        <f aca="false">IF(F41="","",IF(F41&gt;=15,"hoch",IF(F41&gt;=8,"mittel","niedrig")))</f>
        <v/>
      </c>
      <c r="H41" s="22"/>
      <c r="I41" s="22"/>
      <c r="J41" s="22"/>
      <c r="K41" s="22"/>
      <c r="L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34" t="str">
        <f aca="false">IF(AND(ISNUMBER(D42),ISNUMBER(E42)),D42*E42,"")</f>
        <v/>
      </c>
      <c r="G42" s="35" t="str">
        <f aca="false">IF(F42="","",IF(F42&gt;=15,"hoch",IF(F42&gt;=8,"mittel","niedrig")))</f>
        <v/>
      </c>
      <c r="H42" s="22"/>
      <c r="I42" s="22"/>
      <c r="J42" s="22"/>
      <c r="K42" s="22"/>
      <c r="L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34" t="str">
        <f aca="false">IF(AND(ISNUMBER(D43),ISNUMBER(E43)),D43*E43,"")</f>
        <v/>
      </c>
      <c r="G43" s="35" t="str">
        <f aca="false">IF(F43="","",IF(F43&gt;=15,"hoch",IF(F43&gt;=8,"mittel","niedrig")))</f>
        <v/>
      </c>
      <c r="H43" s="22"/>
      <c r="I43" s="22"/>
      <c r="J43" s="22"/>
      <c r="K43" s="22"/>
      <c r="L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34" t="str">
        <f aca="false">IF(AND(ISNUMBER(D44),ISNUMBER(E44)),D44*E44,"")</f>
        <v/>
      </c>
      <c r="G44" s="35" t="str">
        <f aca="false">IF(F44="","",IF(F44&gt;=15,"hoch",IF(F44&gt;=8,"mittel","niedrig")))</f>
        <v/>
      </c>
      <c r="H44" s="22"/>
      <c r="I44" s="22"/>
      <c r="J44" s="22"/>
      <c r="K44" s="22"/>
      <c r="L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34" t="str">
        <f aca="false">IF(AND(ISNUMBER(D45),ISNUMBER(E45)),D45*E45,"")</f>
        <v/>
      </c>
      <c r="G45" s="35" t="str">
        <f aca="false">IF(F45="","",IF(F45&gt;=15,"hoch",IF(F45&gt;=8,"mittel","niedrig")))</f>
        <v/>
      </c>
      <c r="H45" s="22"/>
      <c r="I45" s="22"/>
      <c r="J45" s="22"/>
      <c r="K45" s="22"/>
      <c r="L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34" t="str">
        <f aca="false">IF(AND(ISNUMBER(D46),ISNUMBER(E46)),D46*E46,"")</f>
        <v/>
      </c>
      <c r="G46" s="35" t="str">
        <f aca="false">IF(F46="","",IF(F46&gt;=15,"hoch",IF(F46&gt;=8,"mittel","niedrig")))</f>
        <v/>
      </c>
      <c r="H46" s="22"/>
      <c r="I46" s="22"/>
      <c r="J46" s="22"/>
      <c r="K46" s="22"/>
      <c r="L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34" t="str">
        <f aca="false">IF(AND(ISNUMBER(D47),ISNUMBER(E47)),D47*E47,"")</f>
        <v/>
      </c>
      <c r="G47" s="35" t="str">
        <f aca="false">IF(F47="","",IF(F47&gt;=15,"hoch",IF(F47&gt;=8,"mittel","niedrig")))</f>
        <v/>
      </c>
      <c r="H47" s="22"/>
      <c r="I47" s="22"/>
      <c r="J47" s="22"/>
      <c r="K47" s="22"/>
      <c r="L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34" t="str">
        <f aca="false">IF(AND(ISNUMBER(D48),ISNUMBER(E48)),D48*E48,"")</f>
        <v/>
      </c>
      <c r="G48" s="35" t="str">
        <f aca="false">IF(F48="","",IF(F48&gt;=15,"hoch",IF(F48&gt;=8,"mittel","niedrig")))</f>
        <v/>
      </c>
      <c r="H48" s="22"/>
      <c r="I48" s="22"/>
      <c r="J48" s="22"/>
      <c r="K48" s="22"/>
      <c r="L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34" t="str">
        <f aca="false">IF(AND(ISNUMBER(D49),ISNUMBER(E49)),D49*E49,"")</f>
        <v/>
      </c>
      <c r="G49" s="35" t="str">
        <f aca="false">IF(F49="","",IF(F49&gt;=15,"hoch",IF(F49&gt;=8,"mittel","niedrig")))</f>
        <v/>
      </c>
      <c r="H49" s="22"/>
      <c r="I49" s="22"/>
      <c r="J49" s="22"/>
      <c r="K49" s="22"/>
      <c r="L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34" t="str">
        <f aca="false">IF(AND(ISNUMBER(D50),ISNUMBER(E50)),D50*E50,"")</f>
        <v/>
      </c>
      <c r="G50" s="35" t="str">
        <f aca="false">IF(F50="","",IF(F50&gt;=15,"hoch",IF(F50&gt;=8,"mittel","niedrig")))</f>
        <v/>
      </c>
      <c r="H50" s="22"/>
      <c r="I50" s="22"/>
      <c r="J50" s="22"/>
      <c r="K50" s="22"/>
      <c r="L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34" t="str">
        <f aca="false">IF(AND(ISNUMBER(D51),ISNUMBER(E51)),D51*E51,"")</f>
        <v/>
      </c>
      <c r="G51" s="35" t="str">
        <f aca="false">IF(F51="","",IF(F51&gt;=15,"hoch",IF(F51&gt;=8,"mittel","niedrig")))</f>
        <v/>
      </c>
      <c r="H51" s="22"/>
      <c r="I51" s="22"/>
      <c r="J51" s="22"/>
      <c r="K51" s="22"/>
      <c r="L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34" t="str">
        <f aca="false">IF(AND(ISNUMBER(D52),ISNUMBER(E52)),D52*E52,"")</f>
        <v/>
      </c>
      <c r="G52" s="35" t="str">
        <f aca="false">IF(F52="","",IF(F52&gt;=15,"hoch",IF(F52&gt;=8,"mittel","niedrig")))</f>
        <v/>
      </c>
      <c r="H52" s="22"/>
      <c r="I52" s="22"/>
      <c r="J52" s="22"/>
      <c r="K52" s="22"/>
      <c r="L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34" t="str">
        <f aca="false">IF(AND(ISNUMBER(D53),ISNUMBER(E53)),D53*E53,"")</f>
        <v/>
      </c>
      <c r="G53" s="35" t="str">
        <f aca="false">IF(F53="","",IF(F53&gt;=15,"hoch",IF(F53&gt;=8,"mittel","niedrig")))</f>
        <v/>
      </c>
      <c r="H53" s="22"/>
      <c r="I53" s="22"/>
      <c r="J53" s="22"/>
      <c r="K53" s="22"/>
      <c r="L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34" t="str">
        <f aca="false">IF(AND(ISNUMBER(D54),ISNUMBER(E54)),D54*E54,"")</f>
        <v/>
      </c>
      <c r="G54" s="35" t="str">
        <f aca="false">IF(F54="","",IF(F54&gt;=15,"hoch",IF(F54&gt;=8,"mittel","niedrig")))</f>
        <v/>
      </c>
      <c r="H54" s="22"/>
      <c r="I54" s="22"/>
      <c r="J54" s="22"/>
      <c r="K54" s="22"/>
      <c r="L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34" t="str">
        <f aca="false">IF(AND(ISNUMBER(D55),ISNUMBER(E55)),D55*E55,"")</f>
        <v/>
      </c>
      <c r="G55" s="35" t="str">
        <f aca="false">IF(F55="","",IF(F55&gt;=15,"hoch",IF(F55&gt;=8,"mittel","niedrig")))</f>
        <v/>
      </c>
      <c r="H55" s="22"/>
      <c r="I55" s="22"/>
      <c r="J55" s="22"/>
      <c r="K55" s="22"/>
      <c r="L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34" t="str">
        <f aca="false">IF(AND(ISNUMBER(D56),ISNUMBER(E56)),D56*E56,"")</f>
        <v/>
      </c>
      <c r="G56" s="35" t="str">
        <f aca="false">IF(F56="","",IF(F56&gt;=15,"hoch",IF(F56&gt;=8,"mittel","niedrig")))</f>
        <v/>
      </c>
      <c r="H56" s="22"/>
      <c r="I56" s="22"/>
      <c r="J56" s="22"/>
      <c r="K56" s="22"/>
      <c r="L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34" t="str">
        <f aca="false">IF(AND(ISNUMBER(D57),ISNUMBER(E57)),D57*E57,"")</f>
        <v/>
      </c>
      <c r="G57" s="35" t="str">
        <f aca="false">IF(F57="","",IF(F57&gt;=15,"hoch",IF(F57&gt;=8,"mittel","niedrig")))</f>
        <v/>
      </c>
      <c r="H57" s="22"/>
      <c r="I57" s="22"/>
      <c r="J57" s="22"/>
      <c r="K57" s="22"/>
      <c r="L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34" t="str">
        <f aca="false">IF(AND(ISNUMBER(D58),ISNUMBER(E58)),D58*E58,"")</f>
        <v/>
      </c>
      <c r="G58" s="35" t="str">
        <f aca="false">IF(F58="","",IF(F58&gt;=15,"hoch",IF(F58&gt;=8,"mittel","niedrig")))</f>
        <v/>
      </c>
      <c r="H58" s="22"/>
      <c r="I58" s="22"/>
      <c r="J58" s="22"/>
      <c r="K58" s="22"/>
      <c r="L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34" t="str">
        <f aca="false">IF(AND(ISNUMBER(D59),ISNUMBER(E59)),D59*E59,"")</f>
        <v/>
      </c>
      <c r="G59" s="35" t="str">
        <f aca="false">IF(F59="","",IF(F59&gt;=15,"hoch",IF(F59&gt;=8,"mittel","niedrig")))</f>
        <v/>
      </c>
      <c r="H59" s="22"/>
      <c r="I59" s="22"/>
      <c r="J59" s="22"/>
      <c r="K59" s="22"/>
      <c r="L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34" t="str">
        <f aca="false">IF(AND(ISNUMBER(D60),ISNUMBER(E60)),D60*E60,"")</f>
        <v/>
      </c>
      <c r="G60" s="35" t="str">
        <f aca="false">IF(F60="","",IF(F60&gt;=15,"hoch",IF(F60&gt;=8,"mittel","niedrig")))</f>
        <v/>
      </c>
      <c r="H60" s="22"/>
      <c r="I60" s="22"/>
      <c r="J60" s="22"/>
      <c r="K60" s="22"/>
      <c r="L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34" t="str">
        <f aca="false">IF(AND(ISNUMBER(D61),ISNUMBER(E61)),D61*E61,"")</f>
        <v/>
      </c>
      <c r="G61" s="35" t="str">
        <f aca="false">IF(F61="","",IF(F61&gt;=15,"hoch",IF(F61&gt;=8,"mittel","niedrig")))</f>
        <v/>
      </c>
      <c r="H61" s="22"/>
      <c r="I61" s="22"/>
      <c r="J61" s="22"/>
      <c r="K61" s="22"/>
      <c r="L61" s="22"/>
    </row>
  </sheetData>
  <conditionalFormatting sqref="F2:F61">
    <cfRule type="cellIs" priority="2" operator="greaterThanOrEqual" aboveAverage="0" equalAverage="0" bottom="0" percent="0" rank="0" text="" dxfId="0">
      <formula>15</formula>
    </cfRule>
    <cfRule type="cellIs" priority="3" operator="between" aboveAverage="0" equalAverage="0" bottom="0" percent="0" rank="0" text="" dxfId="1">
      <formula>8</formula>
      <formula>14</formula>
    </cfRule>
    <cfRule type="cellIs" priority="4" operator="between" aboveAverage="0" equalAverage="0" bottom="0" percent="0" rank="0" text="" dxfId="2">
      <formula>1</formula>
      <formula>7</formula>
    </cfRule>
  </conditionalFormatting>
  <dataValidations count="5">
    <dataValidation allowBlank="true" errorStyle="stop" operator="between" showDropDown="false" showErrorMessage="false" showInputMessage="false" sqref="C2:C61" type="list">
      <formula1>"Scope,Technik,Zeit,Wissen,Qualität,Extern,Motivation"</formula1>
      <formula2>0</formula2>
    </dataValidation>
    <dataValidation allowBlank="true" errorStyle="stop" operator="between" showDropDown="false" showErrorMessage="false" showInputMessage="false" sqref="D2:E61" type="list">
      <formula1>"1,2,3,4,5"</formula1>
      <formula2>0</formula2>
    </dataValidation>
    <dataValidation allowBlank="true" errorStyle="stop" operator="between" showDropDown="false" showErrorMessage="false" showInputMessage="false" sqref="H2:H61" type="list">
      <formula1>"Vermeiden,Vermindern,Übertragen,Akzeptieren"</formula1>
      <formula2>0</formula2>
    </dataValidation>
    <dataValidation allowBlank="true" errorStyle="stop" operator="between" showDropDown="false" showErrorMessage="false" showInputMessage="false" sqref="J2:J61" type="list">
      <formula1>"Aktiv,Beobachten,Geschlossen"</formula1>
      <formula2>0</formula2>
    </dataValidation>
    <dataValidation allowBlank="true" errorStyle="stop" operator="between" showDropDown="false" showErrorMessage="false" showInputMessage="false" sqref="K2:K61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36"/>
    <col collapsed="false" customWidth="true" hidden="false" outlineLevel="0" max="6" min="5" style="0" width="2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2" min="10" style="0" width="12"/>
    <col collapsed="false" customWidth="true" hidden="false" outlineLevel="0" max="13" min="13" style="0" width="28"/>
  </cols>
  <sheetData>
    <row r="1" customFormat="false" ht="31.5" hidden="false" customHeight="true" outlineLevel="0" collapsed="false">
      <c r="A1" s="15" t="s">
        <v>74</v>
      </c>
      <c r="B1" s="15" t="s">
        <v>133</v>
      </c>
      <c r="C1" s="15" t="s">
        <v>134</v>
      </c>
      <c r="D1" s="15" t="s">
        <v>135</v>
      </c>
      <c r="E1" s="15" t="s">
        <v>136</v>
      </c>
      <c r="F1" s="15" t="s">
        <v>137</v>
      </c>
      <c r="G1" s="15" t="s">
        <v>138</v>
      </c>
      <c r="H1" s="15" t="s">
        <v>139</v>
      </c>
      <c r="I1" s="15" t="s">
        <v>140</v>
      </c>
      <c r="J1" s="15" t="s">
        <v>80</v>
      </c>
      <c r="K1" s="15" t="s">
        <v>141</v>
      </c>
      <c r="L1" s="15" t="s">
        <v>142</v>
      </c>
      <c r="M1" s="15" t="s">
        <v>143</v>
      </c>
    </row>
    <row r="2" customFormat="false" ht="23.85" hidden="false" customHeight="false" outlineLevel="0" collapsed="false">
      <c r="A2" s="19" t="s">
        <v>90</v>
      </c>
      <c r="B2" s="19" t="s">
        <v>144</v>
      </c>
      <c r="C2" s="19" t="s">
        <v>145</v>
      </c>
      <c r="D2" s="19" t="s">
        <v>146</v>
      </c>
      <c r="E2" s="19" t="s">
        <v>147</v>
      </c>
      <c r="F2" s="19" t="s">
        <v>148</v>
      </c>
      <c r="G2" s="19" t="s">
        <v>149</v>
      </c>
      <c r="H2" s="19" t="s">
        <v>150</v>
      </c>
      <c r="I2" s="19" t="s">
        <v>151</v>
      </c>
      <c r="J2" s="19" t="s">
        <v>152</v>
      </c>
      <c r="K2" s="17" t="s">
        <v>153</v>
      </c>
      <c r="L2" s="17"/>
      <c r="M2" s="19" t="s">
        <v>154</v>
      </c>
    </row>
    <row r="3" customFormat="false" ht="15" hidden="false" customHeight="false" outlineLevel="0" collapsed="false">
      <c r="A3" s="22"/>
      <c r="B3" s="22"/>
      <c r="C3" s="22"/>
      <c r="D3" s="22"/>
      <c r="E3" s="22"/>
      <c r="F3" s="22"/>
      <c r="G3" s="22"/>
      <c r="H3" s="22"/>
      <c r="I3" s="22"/>
      <c r="J3" s="22"/>
      <c r="K3" s="20"/>
      <c r="L3" s="20"/>
      <c r="M3" s="22"/>
    </row>
    <row r="4" customFormat="false" ht="15" hidden="false" customHeight="false" outlineLevel="0" collapsed="false">
      <c r="A4" s="22"/>
      <c r="B4" s="22"/>
      <c r="C4" s="22"/>
      <c r="D4" s="22"/>
      <c r="E4" s="22"/>
      <c r="F4" s="22"/>
      <c r="G4" s="22"/>
      <c r="H4" s="22"/>
      <c r="I4" s="22"/>
      <c r="J4" s="22"/>
      <c r="K4" s="20"/>
      <c r="L4" s="20"/>
      <c r="M4" s="22"/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2"/>
      <c r="K5" s="20"/>
      <c r="L5" s="20"/>
      <c r="M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2"/>
      <c r="K6" s="20"/>
      <c r="L6" s="20"/>
      <c r="M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0"/>
      <c r="L7" s="20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0"/>
      <c r="L8" s="20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0"/>
      <c r="L9" s="20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0"/>
      <c r="L10" s="20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0"/>
      <c r="L11" s="20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0"/>
      <c r="L12" s="20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0"/>
      <c r="L13" s="20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0"/>
      <c r="L14" s="20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0"/>
      <c r="L15" s="20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0"/>
      <c r="L16" s="20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0"/>
      <c r="L17" s="20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0"/>
      <c r="L18" s="20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0"/>
      <c r="L19" s="20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0"/>
      <c r="L20" s="20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0"/>
      <c r="L21" s="20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0"/>
      <c r="L22" s="20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0"/>
      <c r="L23" s="20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0"/>
      <c r="L24" s="20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0"/>
      <c r="L25" s="20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0"/>
      <c r="L26" s="20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0"/>
      <c r="L27" s="20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0"/>
      <c r="L28" s="20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0"/>
      <c r="L29" s="20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0"/>
      <c r="L30" s="20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0"/>
      <c r="L31" s="20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0"/>
      <c r="L32" s="20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0"/>
      <c r="L33" s="20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0"/>
      <c r="L34" s="20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0"/>
      <c r="L35" s="20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0"/>
      <c r="L36" s="20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0"/>
      <c r="L37" s="20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0"/>
      <c r="L38" s="20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0"/>
      <c r="L39" s="20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0"/>
      <c r="L40" s="20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0"/>
      <c r="L41" s="20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0"/>
      <c r="L42" s="20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0"/>
      <c r="L43" s="20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0"/>
      <c r="L44" s="20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0"/>
      <c r="L45" s="20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0"/>
      <c r="L46" s="20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0"/>
      <c r="L47" s="20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0"/>
      <c r="L48" s="20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0"/>
      <c r="L49" s="20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0"/>
      <c r="L50" s="20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0"/>
      <c r="L51" s="20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0"/>
      <c r="L52" s="20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0"/>
      <c r="L53" s="20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0"/>
      <c r="L54" s="20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0"/>
      <c r="L55" s="20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0"/>
      <c r="L56" s="20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0"/>
      <c r="L57" s="20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0"/>
      <c r="L58" s="20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0"/>
      <c r="L59" s="20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0"/>
      <c r="L60" s="20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0"/>
      <c r="L61" s="20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0"/>
      <c r="L62" s="20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0"/>
      <c r="L63" s="20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0"/>
      <c r="L64" s="20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0"/>
      <c r="L65" s="20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0"/>
      <c r="L66" s="20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0"/>
      <c r="L67" s="20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0"/>
      <c r="L68" s="20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0"/>
      <c r="L69" s="20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0"/>
      <c r="L70" s="20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0"/>
      <c r="L71" s="20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0"/>
      <c r="L72" s="20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0"/>
      <c r="L73" s="20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0"/>
      <c r="L74" s="20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0"/>
      <c r="L75" s="20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0"/>
      <c r="L76" s="20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0"/>
      <c r="L77" s="20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0"/>
      <c r="L78" s="20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0"/>
      <c r="L79" s="20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0"/>
      <c r="L80" s="20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0"/>
      <c r="L81" s="20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0"/>
      <c r="L82" s="20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0"/>
      <c r="L83" s="20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0"/>
      <c r="L84" s="20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0"/>
      <c r="L85" s="20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0"/>
      <c r="L86" s="20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0"/>
      <c r="L87" s="20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0"/>
      <c r="L88" s="20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0"/>
      <c r="L89" s="20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0"/>
      <c r="L90" s="20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0"/>
      <c r="L91" s="20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0"/>
      <c r="L92" s="20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0"/>
      <c r="L93" s="20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0"/>
      <c r="L94" s="20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0"/>
      <c r="L95" s="20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0"/>
      <c r="L96" s="20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0"/>
      <c r="L97" s="20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0"/>
      <c r="L98" s="20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0"/>
      <c r="L99" s="20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0"/>
      <c r="L100" s="20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0"/>
      <c r="L101" s="20"/>
      <c r="M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0"/>
      <c r="L102" s="20"/>
      <c r="M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0"/>
      <c r="L103" s="20"/>
      <c r="M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0"/>
      <c r="L104" s="20"/>
      <c r="M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0"/>
      <c r="L105" s="20"/>
      <c r="M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0"/>
      <c r="L106" s="20"/>
      <c r="M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0"/>
      <c r="L107" s="20"/>
      <c r="M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0"/>
      <c r="L108" s="20"/>
      <c r="M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0"/>
      <c r="L109" s="20"/>
      <c r="M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0"/>
      <c r="L110" s="20"/>
      <c r="M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0"/>
      <c r="L111" s="20"/>
      <c r="M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0"/>
      <c r="L112" s="20"/>
      <c r="M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0"/>
      <c r="L113" s="20"/>
      <c r="M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0"/>
      <c r="L114" s="20"/>
      <c r="M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0"/>
      <c r="L115" s="20"/>
      <c r="M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0"/>
      <c r="L116" s="20"/>
      <c r="M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0"/>
      <c r="L117" s="20"/>
      <c r="M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0"/>
      <c r="L118" s="20"/>
      <c r="M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0"/>
      <c r="L119" s="20"/>
      <c r="M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0"/>
      <c r="L120" s="20"/>
      <c r="M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0"/>
      <c r="L121" s="20"/>
      <c r="M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0"/>
      <c r="L122" s="20"/>
      <c r="M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0"/>
      <c r="L123" s="20"/>
      <c r="M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0"/>
      <c r="L124" s="20"/>
      <c r="M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0"/>
      <c r="L125" s="20"/>
      <c r="M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0"/>
      <c r="L126" s="20"/>
      <c r="M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0"/>
      <c r="L127" s="20"/>
      <c r="M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0"/>
      <c r="L128" s="20"/>
      <c r="M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0"/>
      <c r="L129" s="20"/>
      <c r="M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0"/>
      <c r="L130" s="20"/>
      <c r="M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0"/>
      <c r="L131" s="20"/>
      <c r="M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0"/>
      <c r="L132" s="20"/>
      <c r="M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0"/>
      <c r="L133" s="20"/>
      <c r="M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0"/>
      <c r="L134" s="20"/>
      <c r="M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0"/>
      <c r="L135" s="20"/>
      <c r="M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0"/>
      <c r="L136" s="20"/>
      <c r="M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0"/>
      <c r="L137" s="20"/>
      <c r="M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0"/>
      <c r="L138" s="20"/>
      <c r="M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0"/>
      <c r="L139" s="20"/>
      <c r="M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0"/>
      <c r="L140" s="20"/>
      <c r="M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0"/>
      <c r="L141" s="20"/>
      <c r="M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0"/>
      <c r="L142" s="20"/>
      <c r="M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0"/>
      <c r="L143" s="20"/>
      <c r="M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0"/>
      <c r="L144" s="20"/>
      <c r="M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0"/>
      <c r="L145" s="20"/>
      <c r="M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0"/>
      <c r="L146" s="20"/>
      <c r="M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0"/>
      <c r="L147" s="20"/>
      <c r="M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0"/>
      <c r="L148" s="20"/>
      <c r="M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0"/>
      <c r="L149" s="20"/>
      <c r="M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0"/>
      <c r="L150" s="20"/>
      <c r="M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0"/>
      <c r="L151" s="20"/>
      <c r="M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0"/>
      <c r="L152" s="20"/>
      <c r="M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0"/>
      <c r="L153" s="20"/>
      <c r="M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0"/>
      <c r="L154" s="20"/>
      <c r="M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0"/>
      <c r="L155" s="20"/>
      <c r="M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0"/>
      <c r="L156" s="20"/>
      <c r="M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0"/>
      <c r="L157" s="20"/>
      <c r="M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0"/>
      <c r="L158" s="20"/>
      <c r="M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0"/>
      <c r="L159" s="20"/>
      <c r="M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0"/>
      <c r="L160" s="20"/>
      <c r="M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0"/>
      <c r="L161" s="20"/>
      <c r="M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0"/>
      <c r="L162" s="20"/>
      <c r="M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0"/>
      <c r="L163" s="20"/>
      <c r="M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0"/>
      <c r="L164" s="20"/>
      <c r="M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0"/>
      <c r="L165" s="20"/>
      <c r="M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0"/>
      <c r="L166" s="20"/>
      <c r="M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0"/>
      <c r="L167" s="20"/>
      <c r="M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0"/>
      <c r="L168" s="20"/>
      <c r="M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0"/>
      <c r="L169" s="20"/>
      <c r="M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0"/>
      <c r="L170" s="20"/>
      <c r="M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0"/>
      <c r="L171" s="20"/>
      <c r="M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0"/>
      <c r="L172" s="20"/>
      <c r="M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0"/>
      <c r="L173" s="20"/>
      <c r="M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0"/>
      <c r="L174" s="20"/>
      <c r="M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0"/>
      <c r="L175" s="20"/>
      <c r="M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0"/>
      <c r="L176" s="20"/>
      <c r="M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0"/>
      <c r="L177" s="20"/>
      <c r="M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0"/>
      <c r="L178" s="20"/>
      <c r="M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0"/>
      <c r="L179" s="20"/>
      <c r="M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0"/>
      <c r="L180" s="20"/>
      <c r="M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0"/>
      <c r="L181" s="20"/>
      <c r="M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0"/>
      <c r="L182" s="20"/>
      <c r="M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0"/>
      <c r="L183" s="20"/>
      <c r="M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0"/>
      <c r="L184" s="20"/>
      <c r="M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0"/>
      <c r="L185" s="20"/>
      <c r="M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0"/>
      <c r="L186" s="20"/>
      <c r="M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0"/>
      <c r="L187" s="20"/>
      <c r="M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0"/>
      <c r="L188" s="20"/>
      <c r="M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0"/>
      <c r="L189" s="20"/>
      <c r="M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0"/>
      <c r="L190" s="20"/>
      <c r="M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0"/>
      <c r="L191" s="20"/>
      <c r="M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0"/>
      <c r="L192" s="20"/>
      <c r="M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0"/>
      <c r="L193" s="20"/>
      <c r="M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0"/>
      <c r="L194" s="20"/>
      <c r="M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0"/>
      <c r="L195" s="20"/>
      <c r="M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0"/>
      <c r="L196" s="20"/>
      <c r="M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0"/>
      <c r="L197" s="20"/>
      <c r="M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0"/>
      <c r="L198" s="20"/>
      <c r="M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0"/>
      <c r="L199" s="20"/>
      <c r="M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0"/>
      <c r="L200" s="20"/>
      <c r="M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0"/>
      <c r="L201" s="20"/>
      <c r="M201" s="22"/>
    </row>
  </sheetData>
  <conditionalFormatting sqref="H2:H201">
    <cfRule type="cellIs" priority="2" operator="equal" aboveAverage="0" equalAverage="0" bottom="0" percent="0" rank="0" text="" dxfId="0">
      <formula>"A"</formula>
    </cfRule>
  </conditionalFormatting>
  <dataValidations count="3">
    <dataValidation allowBlank="true" errorStyle="stop" operator="between" showDropDown="false" showErrorMessage="false" showInputMessage="false" sqref="H2:H201" type="list">
      <formula1>"A,B,C"</formula1>
      <formula2>0</formula2>
    </dataValidation>
    <dataValidation allowBlank="true" errorStyle="stop" operator="between" showDropDown="false" showErrorMessage="false" showInputMessage="false" sqref="I2:I201" type="list">
      <formula1>"hoch,mittel,niedrig"</formula1>
      <formula2>0</formula2>
    </dataValidation>
    <dataValidation allowBlank="true" errorStyle="stop" operator="between" showDropDown="false" showErrorMessage="false" showInputMessage="false" sqref="J2:J201" type="list">
      <formula1>"Neu,Bestätigt,In Arbeit,Behoben,Verifiziert,Geschlossen,Won't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30"/>
    <col collapsed="false" customWidth="true" hidden="false" outlineLevel="0" max="8" min="8" style="0" width="44"/>
    <col collapsed="false" customWidth="true" hidden="false" outlineLevel="0" max="13" min="9" style="0" width="10"/>
    <col collapsed="false" customWidth="true" hidden="false" outlineLevel="0" max="15" min="15" style="0" width="12"/>
  </cols>
  <sheetData>
    <row r="1" customFormat="false" ht="31.5" hidden="false" customHeight="true" outlineLevel="0" collapsed="false">
      <c r="A1" s="15" t="s">
        <v>155</v>
      </c>
      <c r="B1" s="15" t="s">
        <v>66</v>
      </c>
      <c r="C1" s="15" t="s">
        <v>156</v>
      </c>
      <c r="D1" s="15" t="s">
        <v>157</v>
      </c>
      <c r="E1" s="15" t="s">
        <v>134</v>
      </c>
      <c r="F1" s="15" t="s">
        <v>158</v>
      </c>
      <c r="G1" s="15" t="s">
        <v>159</v>
      </c>
      <c r="H1" s="15" t="s">
        <v>160</v>
      </c>
      <c r="I1" s="15" t="s">
        <v>161</v>
      </c>
      <c r="J1" s="15" t="s">
        <v>162</v>
      </c>
      <c r="K1" s="15" t="s">
        <v>163</v>
      </c>
      <c r="L1" s="15" t="s">
        <v>164</v>
      </c>
      <c r="M1" s="15" t="s">
        <v>165</v>
      </c>
      <c r="O1" s="36" t="s">
        <v>166</v>
      </c>
    </row>
    <row r="2" customFormat="false" ht="23.85" hidden="false" customHeight="false" outlineLevel="0" collapsed="false">
      <c r="A2" s="19" t="s">
        <v>90</v>
      </c>
      <c r="B2" s="19" t="s">
        <v>167</v>
      </c>
      <c r="C2" s="19" t="s">
        <v>168</v>
      </c>
      <c r="D2" s="19" t="s">
        <v>169</v>
      </c>
      <c r="E2" s="19" t="s">
        <v>170</v>
      </c>
      <c r="F2" s="19" t="n">
        <v>12</v>
      </c>
      <c r="G2" s="19" t="s">
        <v>171</v>
      </c>
      <c r="H2" s="19" t="s">
        <v>172</v>
      </c>
      <c r="I2" s="19" t="s">
        <v>173</v>
      </c>
      <c r="J2" s="19" t="s">
        <v>174</v>
      </c>
      <c r="K2" s="19" t="n">
        <v>4</v>
      </c>
      <c r="L2" s="19" t="n">
        <v>3</v>
      </c>
      <c r="M2" s="19" t="n">
        <v>5</v>
      </c>
      <c r="O2" s="37" t="s">
        <v>175</v>
      </c>
      <c r="P2" s="38" t="n">
        <f aca="false">IFERROR(AVERAGE(K2:K101),"")</f>
        <v>4</v>
      </c>
    </row>
    <row r="3" customFormat="false" ht="15" hidden="false" customHeight="false" outlineLevel="0" collapsed="false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O3" s="37" t="s">
        <v>176</v>
      </c>
      <c r="P3" s="38" t="n">
        <f aca="false">IFERROR(AVERAGE(L2:L101),"")</f>
        <v>3</v>
      </c>
    </row>
    <row r="4" customFormat="false" ht="15" hidden="false" customHeight="false" outlineLevel="0" collapsed="false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O4" s="37" t="s">
        <v>177</v>
      </c>
      <c r="P4" s="38" t="n">
        <f aca="false">IFERROR(AVERAGE(M2:M101),"")</f>
        <v>5</v>
      </c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</row>
  </sheetData>
  <dataValidations count="3">
    <dataValidation allowBlank="true" errorStyle="stop" operator="between" showDropDown="false" showErrorMessage="false" showInputMessage="false" sqref="I2:I101" type="list">
      <formula1>"hoch,mittel,niedrig"</formula1>
      <formula2>0</formula2>
    </dataValidation>
    <dataValidation allowBlank="true" errorStyle="stop" operator="between" showDropDown="false" showErrorMessage="false" showInputMessage="false" sqref="D2:D101" type="list">
      <formula1>"Peer,Extern,Hallway"</formula1>
      <formula2>0</formula2>
    </dataValidation>
    <dataValidation allowBlank="true" errorStyle="stop" operator="between" showDropDown="false" showErrorMessage="false" showInputMessage="false" sqref="K2:M101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2026-10-01T09:20:48Z</dcterms:created>
  <dc:creator>openpyxl</dc:creator>
  <dc:description/>
  <dc:language>en-US</dc:language>
  <cp:lastModifiedBy/>
  <dcterms:modified xsi:type="dcterms:W3CDTF">2026-10-01T11:20:50Z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